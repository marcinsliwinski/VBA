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en_skoroszyt" hidePivotFieldList="1" defaultThemeVersion="124226"/>
  <bookViews>
    <workbookView xWindow="240" yWindow="105" windowWidth="14805" windowHeight="8010"/>
  </bookViews>
  <sheets>
    <sheet name="PANEL" sheetId="3" r:id="rId1"/>
    <sheet name="TMP" sheetId="166" r:id="rId2"/>
    <sheet name="zbiorczy" sheetId="1" r:id="rId3"/>
    <sheet name="klienci" sheetId="4" r:id="rId4"/>
    <sheet name="wzór_dd" sheetId="2" r:id="rId5"/>
    <sheet name="wersje" sheetId="155" r:id="rId6"/>
  </sheets>
  <externalReferences>
    <externalReference r:id="rId7"/>
  </externalReferences>
  <definedNames>
    <definedName name="_xlnm._FilterDatabase" localSheetId="3" hidden="1">klienci!$A$1:$L$590</definedName>
    <definedName name="klienci">[1]adresy!$C$1:$C$61</definedName>
  </definedNames>
  <calcPr calcId="152511"/>
  <pivotCaches>
    <pivotCache cacheId="19" r:id="rId8"/>
  </pivotCaches>
</workbook>
</file>

<file path=xl/calcChain.xml><?xml version="1.0" encoding="utf-8"?>
<calcChain xmlns="http://schemas.openxmlformats.org/spreadsheetml/2006/main">
  <c r="D35" i="166" l="1"/>
  <c r="D9" i="166"/>
  <c r="H590" i="4" l="1"/>
  <c r="H47" i="4" l="1"/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" i="1"/>
  <c r="H587" i="4" l="1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88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168" i="4"/>
  <c r="H131" i="4" l="1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23" i="4" l="1"/>
  <c r="H124" i="4"/>
  <c r="H125" i="4"/>
  <c r="H126" i="4"/>
  <c r="H127" i="4"/>
  <c r="H128" i="4"/>
  <c r="H129" i="4"/>
  <c r="H130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71" i="4" l="1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D9" i="2" l="1"/>
  <c r="A22" i="2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2" i="4"/>
  <c r="G1" i="1" l="1"/>
  <c r="H1" i="1"/>
  <c r="M9" i="3" l="1"/>
  <c r="M19" i="3"/>
  <c r="C6" i="3" l="1"/>
  <c r="D6" i="3" s="1"/>
  <c r="K7" i="3"/>
  <c r="K6" i="3"/>
  <c r="K5" i="3"/>
</calcChain>
</file>

<file path=xl/sharedStrings.xml><?xml version="1.0" encoding="utf-8"?>
<sst xmlns="http://schemas.openxmlformats.org/spreadsheetml/2006/main" count="242" uniqueCount="129">
  <si>
    <t>DOKUMENT DOSTAWCY nr.</t>
  </si>
  <si>
    <r>
      <t xml:space="preserve">Supplier document No part / </t>
    </r>
    <r>
      <rPr>
        <b/>
        <i/>
        <sz val="12"/>
        <color theme="1"/>
        <rFont val="Calibri"/>
        <family val="2"/>
        <charset val="238"/>
        <scheme val="minor"/>
      </rPr>
      <t>LIEFERSCHEIN, NUMMER, PARTIE</t>
    </r>
  </si>
  <si>
    <t xml:space="preserve"> Pflanzenschutz-Dokument</t>
  </si>
  <si>
    <t>Państwowa Inspekcja Ochrony Roślin i Nasiennictwa</t>
  </si>
  <si>
    <t>MAIN INSPECTORATE OF PLANT HEALTH AND SEED INSPECTION</t>
  </si>
  <si>
    <r>
      <t xml:space="preserve">       </t>
    </r>
    <r>
      <rPr>
        <b/>
        <sz val="12"/>
        <color theme="1"/>
        <rFont val="Calibri"/>
        <family val="2"/>
        <charset val="238"/>
        <scheme val="minor"/>
      </rPr>
      <t xml:space="preserve">PL                                                                          </t>
    </r>
  </si>
  <si>
    <r>
      <t>Dostawca</t>
    </r>
    <r>
      <rPr>
        <sz val="11"/>
        <color theme="1"/>
        <rFont val="Calibri"/>
        <family val="2"/>
        <charset val="238"/>
        <scheme val="minor"/>
      </rPr>
      <t>/</t>
    </r>
    <r>
      <rPr>
        <i/>
        <sz val="11"/>
        <color theme="1"/>
        <rFont val="Calibri"/>
        <family val="2"/>
        <charset val="238"/>
        <scheme val="minor"/>
      </rPr>
      <t xml:space="preserve">supplier, </t>
    </r>
    <r>
      <rPr>
        <b/>
        <i/>
        <sz val="11"/>
        <color theme="1"/>
        <rFont val="Calibri"/>
        <family val="2"/>
        <charset val="238"/>
        <scheme val="minor"/>
      </rPr>
      <t>LIEFERANT</t>
    </r>
    <r>
      <rPr>
        <i/>
        <sz val="11"/>
        <color theme="1"/>
        <rFont val="Calibri"/>
        <family val="2"/>
        <charset val="238"/>
        <scheme val="minor"/>
      </rPr>
      <t>/</t>
    </r>
    <r>
      <rPr>
        <b/>
        <sz val="11"/>
        <color theme="1"/>
        <rFont val="Calibri"/>
        <family val="2"/>
        <charset val="238"/>
        <scheme val="minor"/>
      </rPr>
      <t xml:space="preserve">: </t>
    </r>
  </si>
  <si>
    <r>
      <t>Odbiorca</t>
    </r>
    <r>
      <rPr>
        <i/>
        <sz val="11"/>
        <color theme="1"/>
        <rFont val="Calibri"/>
        <family val="2"/>
        <charset val="238"/>
        <scheme val="minor"/>
      </rPr>
      <t xml:space="preserve">/Receiver, </t>
    </r>
    <r>
      <rPr>
        <b/>
        <i/>
        <sz val="11"/>
        <color theme="1"/>
        <rFont val="Calibri"/>
        <family val="2"/>
        <charset val="238"/>
        <scheme val="minor"/>
      </rPr>
      <t>ABNEHMER</t>
    </r>
    <r>
      <rPr>
        <i/>
        <sz val="11"/>
        <color theme="1"/>
        <rFont val="Calibri"/>
        <family val="2"/>
        <charset val="238"/>
        <scheme val="minor"/>
      </rPr>
      <t>/:</t>
    </r>
  </si>
  <si>
    <t>FRUCTOPLANT SP. Z O.O.</t>
  </si>
  <si>
    <t>UL. KIELNIKI 2E</t>
  </si>
  <si>
    <t>09-530 GĄBIN</t>
  </si>
  <si>
    <r>
      <t xml:space="preserve">Nr z rejestru/Reg. number/ </t>
    </r>
    <r>
      <rPr>
        <b/>
        <i/>
        <sz val="11"/>
        <color theme="1"/>
        <rFont val="Calibri"/>
        <family val="2"/>
        <charset val="238"/>
        <scheme val="minor"/>
      </rPr>
      <t>Registrierungs-Kennummer</t>
    </r>
    <r>
      <rPr>
        <i/>
        <sz val="11"/>
        <color theme="1"/>
        <rFont val="Calibri"/>
        <family val="2"/>
        <charset val="238"/>
        <scheme val="minor"/>
      </rPr>
      <t xml:space="preserve">: </t>
    </r>
  </si>
  <si>
    <t>14/19/14776</t>
  </si>
  <si>
    <r>
      <t>Materiał rozmnożeniowy/ nasadzeniowy-jakość WE /</t>
    </r>
    <r>
      <rPr>
        <i/>
        <sz val="11"/>
        <color theme="1"/>
        <rFont val="Calibri"/>
        <family val="2"/>
        <charset val="238"/>
        <scheme val="minor"/>
      </rPr>
      <t xml:space="preserve">Material-quality WE, </t>
    </r>
    <r>
      <rPr>
        <b/>
        <i/>
        <sz val="11"/>
        <color theme="1"/>
        <rFont val="Calibri"/>
        <family val="2"/>
        <charset val="238"/>
        <scheme val="minor"/>
      </rPr>
      <t>VERMEHRUNGSMATERIAL WE</t>
    </r>
    <r>
      <rPr>
        <sz val="11"/>
        <color theme="1"/>
        <rFont val="Calibri"/>
        <family val="2"/>
        <charset val="238"/>
        <scheme val="minor"/>
      </rPr>
      <t>/</t>
    </r>
  </si>
  <si>
    <t>kategoria</t>
  </si>
  <si>
    <t>Lp.</t>
  </si>
  <si>
    <t>gatunek, odmiana, podkładka</t>
  </si>
  <si>
    <t>Wiek</t>
  </si>
  <si>
    <t>stopień kwalifikacji</t>
  </si>
  <si>
    <t>Nr partii</t>
  </si>
  <si>
    <t>ilość</t>
  </si>
  <si>
    <t>uwagi</t>
  </si>
  <si>
    <t xml:space="preserve">   No</t>
  </si>
  <si>
    <t>species, variety, rootstock</t>
  </si>
  <si>
    <t>age</t>
  </si>
  <si>
    <t>status zdrowotności</t>
  </si>
  <si>
    <t>No lot</t>
  </si>
  <si>
    <t>quantity</t>
  </si>
  <si>
    <t>remarks</t>
  </si>
  <si>
    <t>NR</t>
  </si>
  <si>
    <t>BEZEICHNUNG: SORTE, VIELFALT, UNTERLAGE</t>
  </si>
  <si>
    <t>ALTER</t>
  </si>
  <si>
    <r>
      <t xml:space="preserve">category/ </t>
    </r>
    <r>
      <rPr>
        <b/>
        <i/>
        <sz val="9"/>
        <color theme="1"/>
        <rFont val="Calibri"/>
        <family val="2"/>
        <charset val="238"/>
        <scheme val="minor"/>
      </rPr>
      <t>KATEGORIE</t>
    </r>
  </si>
  <si>
    <t>NUMMER DER PARTIEN</t>
  </si>
  <si>
    <t>ANZAHL</t>
  </si>
  <si>
    <t>ANMERKUNG</t>
  </si>
  <si>
    <r>
      <t xml:space="preserve">certification grades health status/ </t>
    </r>
    <r>
      <rPr>
        <b/>
        <i/>
        <sz val="8"/>
        <color theme="1"/>
        <rFont val="Calibri"/>
        <family val="2"/>
        <charset val="238"/>
        <scheme val="minor"/>
      </rPr>
      <t>GESUNDHEITSZUSTAND</t>
    </r>
  </si>
  <si>
    <t>STÜCKE</t>
  </si>
  <si>
    <r>
      <t xml:space="preserve">date, signature and stamp supplier/ </t>
    </r>
    <r>
      <rPr>
        <b/>
        <i/>
        <sz val="8"/>
        <color theme="1"/>
        <rFont val="Calibri"/>
        <family val="2"/>
        <charset val="238"/>
        <scheme val="minor"/>
      </rPr>
      <t xml:space="preserve">DATUM, UNTERSCHRIFT, SIEGEL </t>
    </r>
  </si>
  <si>
    <t>Nr początkowy dokumentu</t>
  </si>
  <si>
    <t>Liczba dokumentów</t>
  </si>
  <si>
    <t>Nr końcowy dokumentu</t>
  </si>
  <si>
    <t>Klient</t>
  </si>
  <si>
    <t>Kategoria</t>
  </si>
  <si>
    <t>Partia</t>
  </si>
  <si>
    <t>Nr sklepu</t>
  </si>
  <si>
    <t>Nazwa sklepu</t>
  </si>
  <si>
    <t>Pełna nazwa DD</t>
  </si>
  <si>
    <t>PASZPORT</t>
  </si>
  <si>
    <t>DD</t>
  </si>
  <si>
    <t>LINIA</t>
  </si>
  <si>
    <t>NAZWA 1</t>
  </si>
  <si>
    <t>ODMIANA</t>
  </si>
  <si>
    <t>PODKŁADKA</t>
  </si>
  <si>
    <t>NAZWA DD</t>
  </si>
  <si>
    <t>PANEL UŻYTKOWNIKA</t>
  </si>
  <si>
    <t>CAC</t>
  </si>
  <si>
    <t>Data wystawienia dokumentów</t>
  </si>
  <si>
    <t>Ulica</t>
  </si>
  <si>
    <t>Miasto</t>
  </si>
  <si>
    <t>Kraj</t>
  </si>
  <si>
    <t>Numer pierwszego DD:</t>
  </si>
  <si>
    <t>Kolumna z nazwą rośliny na DD:</t>
  </si>
  <si>
    <t>Pierwsza kolumna z ilościami na DD:</t>
  </si>
  <si>
    <t>Maksymalna ilość pozycji na DD:</t>
  </si>
  <si>
    <t>Numer wiersza z numerami sklepów:</t>
  </si>
  <si>
    <t>Numer pierwszego wiersza z roślinami:</t>
  </si>
  <si>
    <t>Nazwa arkusza z danymi:</t>
  </si>
  <si>
    <t>zbiorczy!</t>
  </si>
  <si>
    <t>Dane zbiorcze na partię dokumentów dostawców</t>
  </si>
  <si>
    <t>­</t>
  </si>
  <si>
    <t>-</t>
  </si>
  <si>
    <t>NAZWA 2</t>
  </si>
  <si>
    <t>Kod</t>
  </si>
  <si>
    <t>Warszawa</t>
  </si>
  <si>
    <t>POLSKA</t>
  </si>
  <si>
    <t>Kraków</t>
  </si>
  <si>
    <t>UNIKALNI KLIENCI</t>
  </si>
  <si>
    <t>I</t>
  </si>
  <si>
    <t>Supplier document No part / LIEFERSCHEIN, NUMMER, PARTIE</t>
  </si>
  <si>
    <t xml:space="preserve">       PL                                                                          </t>
  </si>
  <si>
    <t xml:space="preserve">Dostawca/supplier, LIEFERANT/: </t>
  </si>
  <si>
    <t>Odbiorca/Receiver, ABNEHMER/:</t>
  </si>
  <si>
    <t xml:space="preserve">Nr z rejestru/Reg. number/ Registrierungs-Kennummer: </t>
  </si>
  <si>
    <t>Materiał rozmnożeniowy/ nasadzeniowy-jakość WE /Material-quality WE, VERMEHRUNGSMATERIAL WE/</t>
  </si>
  <si>
    <t>category/ KATEGORIE</t>
  </si>
  <si>
    <t>certification grades health status/ GESUNDHEITSZUSTAND</t>
  </si>
  <si>
    <t>H</t>
  </si>
  <si>
    <t xml:space="preserve">                                                                                                                                                            data, podpis i pieczęć dostawcy </t>
  </si>
  <si>
    <t xml:space="preserve">date, signature and stamp supplier/ DATUM, UNTERSCHRIFT, SIEGEL </t>
  </si>
  <si>
    <t>v0.2</t>
  </si>
  <si>
    <t>Poprawiono mechanizm numeracji dokumentów dostawców w:
a) pętli przetwarzającej dokumenty oraz przypisującej numer dokumentu
b) w Panelu w polu dokument końcowy</t>
  </si>
  <si>
    <t>Wersja</t>
  </si>
  <si>
    <t>Zmiany</t>
  </si>
  <si>
    <t>Wprowadzono arkusz wersje z informacjami o zmianach</t>
  </si>
  <si>
    <t>v0.3</t>
  </si>
  <si>
    <t>Dodano synchroniczne ładowanie modułu - umożliwia rozpoczęcie działania dopiero po załadowaniu modułu</t>
  </si>
  <si>
    <t>WARSZAWA WOLA PARK 8106
UL. GÓRCZEWSKA 124   
01-460 WARSZAWA
POLSKA</t>
  </si>
  <si>
    <t>GRUSZA DOMOWA/ PYRUS DOMESTICA, KONFERENCJA, GRUSZA KAUKASKA</t>
  </si>
  <si>
    <t>SKLEP</t>
  </si>
  <si>
    <t>SKLEP NR 1</t>
  </si>
  <si>
    <t>Popularna 1</t>
  </si>
  <si>
    <t>00-000</t>
  </si>
  <si>
    <t>38/2016</t>
  </si>
  <si>
    <t>1/38/2016/SKL</t>
  </si>
  <si>
    <t>JABŁOŃ DOMOWA</t>
  </si>
  <si>
    <t>MALUS DOMESTICA</t>
  </si>
  <si>
    <t>SZAMPION</t>
  </si>
  <si>
    <t>M-9</t>
  </si>
  <si>
    <t>TAK</t>
  </si>
  <si>
    <t>GRUSZA DOMOWA</t>
  </si>
  <si>
    <t>PYRUS DOMESTICA</t>
  </si>
  <si>
    <t>KONFERENCJA</t>
  </si>
  <si>
    <t>GRUSZA KAUKASKA</t>
  </si>
  <si>
    <t>DRZEWA OWOCOWE</t>
  </si>
  <si>
    <t>PORZECZKA CZERWONA</t>
  </si>
  <si>
    <t>RIBES RUBRUM</t>
  </si>
  <si>
    <t>JONKHEER VAN TETS</t>
  </si>
  <si>
    <t>KRZEWY OWOCOWE</t>
  </si>
  <si>
    <t>NIE</t>
  </si>
  <si>
    <t>JABŁOŃ DOMOWA/ MALUS DOMESTICA, SZAMPION, M-9</t>
  </si>
  <si>
    <t>PORZECZKA CZERWONA/ RIBES RUBRUM, JONKHEER VAN TETS, -</t>
  </si>
  <si>
    <t>GENERATOR DDP</t>
  </si>
  <si>
    <t>v0.4</t>
  </si>
  <si>
    <t>Usunięto formanty niezgodne z wersją Excel 2013</t>
  </si>
  <si>
    <t>MAGAZYN</t>
  </si>
  <si>
    <t>DC 1</t>
  </si>
  <si>
    <t>Klubowa 2</t>
  </si>
  <si>
    <t>2/38/2016/SKL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</si>
</sst>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\-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i/>
      <sz val="12"/>
      <color theme="1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i/>
      <sz val="8"/>
      <color theme="1"/>
      <name val="Calibri"/>
      <family val="2"/>
      <charset val="238"/>
      <scheme val="minor"/>
    </font>
    <font>
      <b/>
      <i/>
      <sz val="9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i/>
      <sz val="8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9"/>
      <color theme="1"/>
      <name val="Calibri"/>
      <family val="2"/>
      <scheme val="minor"/>
    </font>
    <font>
      <sz val="22"/>
      <color theme="0"/>
      <name val="Cambria"/>
      <family val="2"/>
      <scheme val="major"/>
    </font>
    <font>
      <b/>
      <sz val="10"/>
      <color theme="0"/>
      <name val="Calibri"/>
      <family val="2"/>
      <charset val="238"/>
      <scheme val="minor"/>
    </font>
    <font>
      <b/>
      <sz val="9"/>
      <color theme="0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9"/>
      <color theme="1" tint="0.14993743705557422"/>
      <name val="Calibri"/>
      <family val="2"/>
      <charset val="238"/>
      <scheme val="minor"/>
    </font>
    <font>
      <i/>
      <sz val="9"/>
      <color theme="1" tint="4.9989318521683403E-2"/>
      <name val="Calibri"/>
      <family val="1"/>
      <scheme val="minor"/>
    </font>
    <font>
      <sz val="9"/>
      <color theme="1"/>
      <name val="Calibri"/>
      <family val="1"/>
      <scheme val="minor"/>
    </font>
    <font>
      <sz val="9"/>
      <color theme="1" tint="4.9989318521683403E-2"/>
      <name val="Calibri"/>
      <family val="1"/>
      <scheme val="minor"/>
    </font>
    <font>
      <i/>
      <sz val="9"/>
      <color theme="1" tint="0.14993743705557422"/>
      <name val="Calibri"/>
      <family val="2"/>
      <charset val="238"/>
      <scheme val="minor"/>
    </font>
    <font>
      <b/>
      <i/>
      <sz val="9"/>
      <color theme="1" tint="4.9989318521683403E-2"/>
      <name val="Calibri"/>
      <family val="2"/>
      <charset val="238"/>
      <scheme val="minor"/>
    </font>
    <font>
      <b/>
      <sz val="5"/>
      <color rgb="FFFF0000"/>
      <name val="Symbol"/>
      <family val="1"/>
      <charset val="2"/>
    </font>
    <font>
      <sz val="8"/>
      <color rgb="FF000000"/>
      <name val="Segoe UI"/>
      <family val="2"/>
      <charset val="238"/>
    </font>
    <font>
      <sz val="11"/>
      <color rgb="FF000000"/>
      <name val="Calibri"/>
      <family val="2"/>
      <charset val="238"/>
    </font>
    <font>
      <sz val="10"/>
      <color theme="1"/>
      <name val="Calibri Light"/>
      <family val="2"/>
      <charset val="238"/>
    </font>
    <font>
      <b/>
      <sz val="11"/>
      <color theme="1"/>
      <name val="Calibri Light"/>
      <family val="2"/>
      <charset val="238"/>
    </font>
    <font>
      <sz val="11"/>
      <color indexed="8"/>
      <name val="Calibri"/>
      <family val="2"/>
      <charset val="238"/>
    </font>
    <font>
      <sz val="9"/>
      <name val="Calibri"/>
      <family val="2"/>
      <charset val="238"/>
      <scheme val="minor"/>
    </font>
    <font>
      <b/>
      <i/>
      <u/>
      <sz val="16"/>
      <color theme="3" tint="-0.249977111117893"/>
      <name val="Tempus Sans ITC"/>
      <family val="5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theme="6"/>
      </patternFill>
    </fill>
    <fill>
      <patternFill patternType="solid">
        <fgColor theme="0" tint="-0.14996795556505021"/>
        <bgColor indexed="64"/>
      </patternFill>
    </fill>
    <fill>
      <gradientFill degree="225">
        <stop position="0">
          <color theme="0" tint="-0.1490218817712943"/>
        </stop>
        <stop position="1">
          <color theme="4" tint="0.80001220740379042"/>
        </stop>
      </gradientFill>
    </fill>
  </fills>
  <borders count="4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 tint="0.34998626667073579"/>
      </top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2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1" tint="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1" tint="0.34998626667073579"/>
      </bottom>
      <diagonal/>
    </border>
    <border>
      <left/>
      <right style="thin">
        <color theme="1" tint="0.14996795556505021"/>
      </right>
      <top style="thin">
        <color theme="0"/>
      </top>
      <bottom/>
      <diagonal/>
    </border>
    <border>
      <left style="thin">
        <color theme="0"/>
      </left>
      <right style="thin">
        <color theme="0" tint="-0.14996795556505021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1499679555650502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1" tint="0.14996795556505021"/>
      </bottom>
      <diagonal/>
    </border>
    <border>
      <left/>
      <right style="thin">
        <color theme="0"/>
      </right>
      <top/>
      <bottom style="thin">
        <color theme="1" tint="0.14996795556505021"/>
      </bottom>
      <diagonal/>
    </border>
    <border>
      <left/>
      <right style="thin">
        <color theme="1" tint="0.14996795556505021"/>
      </right>
      <top/>
      <bottom style="thin">
        <color theme="1" tint="0.1499679555650502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0" fontId="39" fillId="0" borderId="0"/>
  </cellStyleXfs>
  <cellXfs count="156">
    <xf numFmtId="0" fontId="0" fillId="0" borderId="0" xfId="0"/>
    <xf numFmtId="0" fontId="2" fillId="0" borderId="0" xfId="0" applyFont="1"/>
    <xf numFmtId="49" fontId="2" fillId="0" borderId="0" xfId="0" applyNumberFormat="1" applyFont="1"/>
    <xf numFmtId="0" fontId="4" fillId="2" borderId="0" xfId="0" applyFont="1" applyFill="1"/>
    <xf numFmtId="0" fontId="2" fillId="0" borderId="4" xfId="0" applyFont="1" applyBorder="1"/>
    <xf numFmtId="0" fontId="2" fillId="0" borderId="0" xfId="0" applyFont="1" applyAlignment="1">
      <alignment wrapText="1"/>
    </xf>
    <xf numFmtId="0" fontId="3" fillId="0" borderId="0" xfId="0" applyFont="1"/>
    <xf numFmtId="0" fontId="17" fillId="0" borderId="0" xfId="0" applyFont="1"/>
    <xf numFmtId="0" fontId="22" fillId="0" borderId="0" xfId="0" applyFont="1"/>
    <xf numFmtId="0" fontId="23" fillId="0" borderId="0" xfId="0" applyFont="1"/>
    <xf numFmtId="0" fontId="23" fillId="0" borderId="0" xfId="0" applyFont="1" applyAlignment="1">
      <alignment wrapText="1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23" fillId="0" borderId="14" xfId="0" applyFont="1" applyBorder="1"/>
    <xf numFmtId="0" fontId="23" fillId="0" borderId="14" xfId="0" applyFont="1" applyBorder="1" applyAlignment="1">
      <alignment horizontal="center"/>
    </xf>
    <xf numFmtId="0" fontId="23" fillId="0" borderId="15" xfId="0" applyFont="1" applyBorder="1"/>
    <xf numFmtId="0" fontId="23" fillId="0" borderId="15" xfId="0" applyFont="1" applyBorder="1" applyAlignment="1">
      <alignment horizontal="center"/>
    </xf>
    <xf numFmtId="0" fontId="13" fillId="0" borderId="14" xfId="0" applyFont="1" applyBorder="1"/>
    <xf numFmtId="0" fontId="26" fillId="0" borderId="14" xfId="0" applyFont="1" applyBorder="1"/>
    <xf numFmtId="0" fontId="27" fillId="0" borderId="14" xfId="0" applyFont="1" applyBorder="1" applyAlignment="1">
      <alignment horizontal="center"/>
    </xf>
    <xf numFmtId="0" fontId="5" fillId="0" borderId="0" xfId="0" applyFont="1" applyAlignment="1">
      <alignment vertical="center" wrapText="1"/>
    </xf>
    <xf numFmtId="0" fontId="26" fillId="4" borderId="13" xfId="0" applyFont="1" applyFill="1" applyBorder="1" applyAlignment="1">
      <alignment horizontal="center" vertical="top" wrapText="1"/>
    </xf>
    <xf numFmtId="0" fontId="29" fillId="0" borderId="0" xfId="0" applyFont="1" applyBorder="1" applyAlignment="1">
      <alignment horizontal="left" vertical="center" indent="2"/>
    </xf>
    <xf numFmtId="0" fontId="30" fillId="0" borderId="14" xfId="0" applyFont="1" applyBorder="1"/>
    <xf numFmtId="0" fontId="13" fillId="0" borderId="26" xfId="0" applyFont="1" applyBorder="1" applyAlignment="1">
      <alignment horizontal="center" vertical="top" wrapText="1"/>
    </xf>
    <xf numFmtId="0" fontId="2" fillId="0" borderId="26" xfId="0" applyFont="1" applyBorder="1"/>
    <xf numFmtId="0" fontId="13" fillId="0" borderId="26" xfId="0" applyFont="1" applyBorder="1" applyAlignment="1">
      <alignment horizontal="center" wrapText="1"/>
    </xf>
    <xf numFmtId="49" fontId="2" fillId="0" borderId="26" xfId="0" applyNumberFormat="1" applyFont="1" applyBorder="1"/>
    <xf numFmtId="0" fontId="13" fillId="0" borderId="27" xfId="0" applyFont="1" applyBorder="1" applyAlignment="1">
      <alignment horizontal="center" vertical="top" wrapText="1"/>
    </xf>
    <xf numFmtId="0" fontId="13" fillId="0" borderId="27" xfId="0" applyFont="1" applyBorder="1" applyAlignment="1">
      <alignment horizontal="center" wrapText="1"/>
    </xf>
    <xf numFmtId="49" fontId="13" fillId="0" borderId="27" xfId="0" applyNumberFormat="1" applyFont="1" applyBorder="1" applyAlignment="1">
      <alignment horizontal="center" wrapText="1"/>
    </xf>
    <xf numFmtId="0" fontId="14" fillId="0" borderId="27" xfId="0" applyFont="1" applyBorder="1" applyAlignment="1">
      <alignment horizontal="center" vertical="top" wrapText="1"/>
    </xf>
    <xf numFmtId="0" fontId="14" fillId="0" borderId="27" xfId="0" applyFont="1" applyBorder="1" applyAlignment="1">
      <alignment horizontal="center" wrapText="1"/>
    </xf>
    <xf numFmtId="49" fontId="14" fillId="0" borderId="27" xfId="0" applyNumberFormat="1" applyFont="1" applyBorder="1" applyAlignment="1">
      <alignment horizontal="center" wrapText="1"/>
    </xf>
    <xf numFmtId="0" fontId="15" fillId="0" borderId="27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vertical="top" wrapText="1"/>
    </xf>
    <xf numFmtId="0" fontId="2" fillId="0" borderId="28" xfId="0" applyFont="1" applyBorder="1" applyAlignment="1">
      <alignment wrapText="1"/>
    </xf>
    <xf numFmtId="0" fontId="14" fillId="0" borderId="28" xfId="0" applyFont="1" applyBorder="1" applyAlignment="1">
      <alignment horizontal="center" wrapText="1"/>
    </xf>
    <xf numFmtId="0" fontId="15" fillId="0" borderId="28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right" vertical="center" indent="2"/>
    </xf>
    <xf numFmtId="0" fontId="23" fillId="0" borderId="14" xfId="0" applyFont="1" applyBorder="1" applyAlignment="1">
      <alignment horizontal="right"/>
    </xf>
    <xf numFmtId="0" fontId="33" fillId="0" borderId="0" xfId="0" applyFont="1" applyBorder="1" applyAlignment="1">
      <alignment horizontal="right" vertical="center" indent="2"/>
    </xf>
    <xf numFmtId="0" fontId="13" fillId="0" borderId="15" xfId="0" applyFont="1" applyBorder="1"/>
    <xf numFmtId="0" fontId="23" fillId="0" borderId="30" xfId="0" applyFont="1" applyBorder="1" applyAlignment="1">
      <alignment horizontal="center"/>
    </xf>
    <xf numFmtId="0" fontId="25" fillId="4" borderId="31" xfId="0" applyFont="1" applyFill="1" applyBorder="1" applyAlignment="1">
      <alignment horizontal="center" vertical="top" wrapText="1"/>
    </xf>
    <xf numFmtId="0" fontId="25" fillId="4" borderId="32" xfId="0" applyFont="1" applyFill="1" applyBorder="1" applyAlignment="1">
      <alignment horizontal="center" vertical="top" wrapText="1"/>
    </xf>
    <xf numFmtId="0" fontId="25" fillId="4" borderId="33" xfId="0" applyFont="1" applyFill="1" applyBorder="1" applyAlignment="1">
      <alignment horizontal="center" vertical="top" wrapText="1"/>
    </xf>
    <xf numFmtId="0" fontId="26" fillId="4" borderId="34" xfId="0" applyFont="1" applyFill="1" applyBorder="1" applyAlignment="1">
      <alignment horizontal="center" vertical="top" wrapText="1"/>
    </xf>
    <xf numFmtId="0" fontId="26" fillId="4" borderId="35" xfId="0" applyFont="1" applyFill="1" applyBorder="1" applyAlignment="1">
      <alignment horizontal="center" vertical="top" wrapText="1"/>
    </xf>
    <xf numFmtId="0" fontId="32" fillId="5" borderId="37" xfId="0" applyFont="1" applyFill="1" applyBorder="1" applyAlignment="1">
      <alignment horizontal="left" vertical="center" indent="2"/>
    </xf>
    <xf numFmtId="0" fontId="28" fillId="5" borderId="37" xfId="0" applyFont="1" applyFill="1" applyBorder="1" applyAlignment="1">
      <alignment horizontal="left" vertical="center" indent="2"/>
    </xf>
    <xf numFmtId="0" fontId="34" fillId="0" borderId="29" xfId="0" applyFont="1" applyBorder="1" applyAlignment="1">
      <alignment horizontal="center" vertical="center"/>
    </xf>
    <xf numFmtId="0" fontId="28" fillId="6" borderId="36" xfId="0" applyFont="1" applyFill="1" applyBorder="1" applyAlignment="1">
      <alignment horizontal="left" vertical="center" indent="2"/>
    </xf>
    <xf numFmtId="0" fontId="32" fillId="6" borderId="37" xfId="0" applyFont="1" applyFill="1" applyBorder="1" applyAlignment="1">
      <alignment horizontal="left" vertical="center" indent="2"/>
    </xf>
    <xf numFmtId="0" fontId="28" fillId="6" borderId="37" xfId="0" applyFont="1" applyFill="1" applyBorder="1" applyAlignment="1">
      <alignment horizontal="left" vertical="center" indent="2"/>
    </xf>
    <xf numFmtId="14" fontId="28" fillId="6" borderId="38" xfId="0" applyNumberFormat="1" applyFont="1" applyFill="1" applyBorder="1" applyAlignment="1">
      <alignment horizontal="left" vertical="center" indent="2"/>
    </xf>
    <xf numFmtId="0" fontId="23" fillId="0" borderId="0" xfId="0" applyFont="1" applyAlignment="1">
      <alignment horizontal="center" wrapText="1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NumberFormat="1" applyFont="1" applyAlignment="1">
      <alignment wrapText="1"/>
    </xf>
    <xf numFmtId="0" fontId="19" fillId="0" borderId="20" xfId="0" applyFont="1" applyFill="1" applyBorder="1" applyAlignment="1">
      <alignment horizontal="center" vertical="center" wrapText="1"/>
    </xf>
    <xf numFmtId="0" fontId="19" fillId="0" borderId="20" xfId="0" applyFont="1" applyFill="1" applyBorder="1" applyAlignment="1">
      <alignment horizontal="left" vertical="center" wrapText="1" indent="1"/>
    </xf>
    <xf numFmtId="49" fontId="19" fillId="0" borderId="20" xfId="0" applyNumberFormat="1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0" fontId="37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37" fillId="0" borderId="0" xfId="0" applyFont="1" applyAlignment="1">
      <alignment horizontal="left" wrapText="1" indent="1"/>
    </xf>
    <xf numFmtId="0" fontId="37" fillId="0" borderId="0" xfId="0" applyFont="1" applyAlignment="1">
      <alignment horizontal="left" indent="1"/>
    </xf>
    <xf numFmtId="0" fontId="17" fillId="0" borderId="0" xfId="0" applyNumberFormat="1" applyFont="1" applyAlignment="1">
      <alignment horizontal="center"/>
    </xf>
    <xf numFmtId="0" fontId="23" fillId="0" borderId="0" xfId="0" pivotButton="1" applyFont="1"/>
    <xf numFmtId="0" fontId="23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/>
    </xf>
    <xf numFmtId="164" fontId="40" fillId="0" borderId="0" xfId="1" applyNumberFormat="1" applyFont="1" applyFill="1" applyBorder="1" applyAlignment="1">
      <alignment horizontal="left"/>
    </xf>
    <xf numFmtId="164" fontId="40" fillId="0" borderId="0" xfId="1" applyNumberFormat="1" applyFont="1" applyFill="1" applyBorder="1" applyAlignment="1">
      <alignment horizontal="left" vertical="center"/>
    </xf>
    <xf numFmtId="164" fontId="40" fillId="0" borderId="0" xfId="1" quotePrefix="1" applyNumberFormat="1" applyFont="1" applyFill="1" applyBorder="1" applyAlignment="1">
      <alignment horizontal="left"/>
    </xf>
    <xf numFmtId="49" fontId="40" fillId="0" borderId="0" xfId="0" applyNumberFormat="1" applyFont="1" applyFill="1" applyBorder="1"/>
    <xf numFmtId="0" fontId="17" fillId="0" borderId="0" xfId="0" applyFont="1" applyFill="1" applyBorder="1"/>
    <xf numFmtId="0" fontId="40" fillId="0" borderId="0" xfId="0" applyFont="1" applyBorder="1"/>
    <xf numFmtId="49" fontId="17" fillId="0" borderId="0" xfId="0" applyNumberFormat="1" applyFont="1" applyFill="1" applyBorder="1"/>
    <xf numFmtId="0" fontId="17" fillId="0" borderId="0" xfId="0" applyFont="1" applyBorder="1"/>
    <xf numFmtId="0" fontId="40" fillId="0" borderId="0" xfId="0" applyFont="1" applyFill="1" applyBorder="1"/>
    <xf numFmtId="0" fontId="40" fillId="0" borderId="0" xfId="0" applyFont="1" applyBorder="1" applyAlignment="1">
      <alignment horizontal="left"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0" xfId="0" applyFont="1" applyBorder="1" applyAlignment="1">
      <alignment horizontal="left"/>
    </xf>
    <xf numFmtId="49" fontId="17" fillId="0" borderId="0" xfId="0" applyNumberFormat="1" applyFont="1" applyBorder="1"/>
    <xf numFmtId="49" fontId="40" fillId="0" borderId="0" xfId="0" quotePrefix="1" applyNumberFormat="1" applyFont="1" applyBorder="1"/>
    <xf numFmtId="0" fontId="17" fillId="0" borderId="0" xfId="0" applyFont="1" applyAlignment="1"/>
    <xf numFmtId="0" fontId="23" fillId="0" borderId="0" xfId="0" quotePrefix="1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0" xfId="0" quotePrefix="1" applyFont="1" applyAlignment="1">
      <alignment horizontal="left"/>
    </xf>
    <xf numFmtId="0" fontId="2" fillId="0" borderId="0" xfId="0" applyFont="1" applyAlignment="1">
      <alignment wrapText="1"/>
    </xf>
    <xf numFmtId="0" fontId="10" fillId="0" borderId="8" xfId="0" applyFont="1" applyBorder="1" applyAlignment="1">
      <alignment horizontal="left" wrapText="1" indent="1"/>
    </xf>
    <xf numFmtId="0" fontId="10" fillId="0" borderId="9" xfId="0" applyFont="1" applyBorder="1" applyAlignment="1">
      <alignment horizontal="left" wrapText="1" indent="1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14" fontId="20" fillId="0" borderId="23" xfId="0" applyNumberFormat="1" applyFont="1" applyFill="1" applyBorder="1" applyAlignment="1">
      <alignment vertical="top" wrapText="1"/>
    </xf>
    <xf numFmtId="14" fontId="20" fillId="0" borderId="24" xfId="0" applyNumberFormat="1" applyFont="1" applyFill="1" applyBorder="1" applyAlignment="1">
      <alignment vertical="top" wrapText="1"/>
    </xf>
    <xf numFmtId="14" fontId="20" fillId="0" borderId="21" xfId="0" applyNumberFormat="1" applyFont="1" applyFill="1" applyBorder="1" applyAlignment="1">
      <alignment vertical="top" wrapText="1"/>
    </xf>
    <xf numFmtId="0" fontId="21" fillId="0" borderId="25" xfId="0" applyFont="1" applyBorder="1" applyAlignment="1">
      <alignment horizontal="right" wrapText="1"/>
    </xf>
    <xf numFmtId="0" fontId="21" fillId="0" borderId="10" xfId="0" applyFont="1" applyBorder="1" applyAlignment="1">
      <alignment horizontal="right" wrapText="1"/>
    </xf>
    <xf numFmtId="0" fontId="21" fillId="0" borderId="22" xfId="0" applyFont="1" applyBorder="1" applyAlignment="1">
      <alignment horizontal="right" wrapText="1"/>
    </xf>
    <xf numFmtId="0" fontId="14" fillId="0" borderId="25" xfId="0" applyFont="1" applyBorder="1" applyAlignment="1">
      <alignment horizontal="right" vertical="top" wrapText="1"/>
    </xf>
    <xf numFmtId="0" fontId="14" fillId="0" borderId="10" xfId="0" applyFont="1" applyBorder="1" applyAlignment="1">
      <alignment horizontal="right" vertical="top" wrapText="1"/>
    </xf>
    <xf numFmtId="0" fontId="14" fillId="0" borderId="22" xfId="0" applyFont="1" applyBorder="1" applyAlignment="1">
      <alignment horizontal="right" vertical="top" wrapText="1"/>
    </xf>
    <xf numFmtId="0" fontId="3" fillId="0" borderId="6" xfId="0" applyFont="1" applyBorder="1" applyAlignment="1">
      <alignment vertical="top" wrapText="1"/>
    </xf>
    <xf numFmtId="0" fontId="3" fillId="0" borderId="7" xfId="0" applyFont="1" applyBorder="1" applyAlignment="1">
      <alignment vertical="top" wrapText="1"/>
    </xf>
    <xf numFmtId="0" fontId="12" fillId="0" borderId="6" xfId="0" applyFont="1" applyBorder="1" applyAlignment="1">
      <alignment horizontal="center" vertical="top" wrapText="1"/>
    </xf>
    <xf numFmtId="0" fontId="12" fillId="0" borderId="0" xfId="0" applyFont="1" applyBorder="1" applyAlignment="1">
      <alignment horizontal="center" vertical="top" wrapText="1"/>
    </xf>
    <xf numFmtId="0" fontId="12" fillId="0" borderId="7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left" vertical="top" wrapText="1" indent="1"/>
    </xf>
    <xf numFmtId="0" fontId="3" fillId="0" borderId="7" xfId="0" applyFont="1" applyBorder="1" applyAlignment="1">
      <alignment horizontal="left" vertical="top" wrapText="1" indent="1"/>
    </xf>
    <xf numFmtId="0" fontId="13" fillId="0" borderId="6" xfId="0" applyFont="1" applyFill="1" applyBorder="1" applyAlignment="1">
      <alignment horizontal="left" vertical="center" wrapText="1" indent="1"/>
    </xf>
    <xf numFmtId="0" fontId="13" fillId="0" borderId="0" xfId="0" applyFont="1" applyFill="1" applyBorder="1" applyAlignment="1">
      <alignment horizontal="left" vertical="center" wrapText="1" indent="1"/>
    </xf>
    <xf numFmtId="0" fontId="13" fillId="0" borderId="7" xfId="0" applyFont="1" applyFill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wrapText="1" indent="1"/>
    </xf>
    <xf numFmtId="0" fontId="10" fillId="0" borderId="7" xfId="0" applyFont="1" applyBorder="1" applyAlignment="1">
      <alignment horizontal="left" wrapText="1" indent="1"/>
    </xf>
    <xf numFmtId="0" fontId="6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6" fillId="0" borderId="1" xfId="0" applyFont="1" applyBorder="1" applyAlignment="1">
      <alignment wrapText="1"/>
    </xf>
    <xf numFmtId="0" fontId="6" fillId="0" borderId="0" xfId="0" applyFont="1" applyBorder="1" applyAlignment="1">
      <alignment wrapText="1"/>
    </xf>
    <xf numFmtId="0" fontId="3" fillId="0" borderId="2" xfId="0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2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3" xfId="0" applyFont="1" applyBorder="1" applyAlignment="1">
      <alignment horizontal="center" vertical="top" wrapText="1"/>
    </xf>
    <xf numFmtId="0" fontId="5" fillId="0" borderId="0" xfId="0" applyFont="1" applyAlignment="1">
      <alignment horizontal="right" vertical="center" wrapText="1"/>
    </xf>
    <xf numFmtId="0" fontId="9" fillId="0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24" fillId="3" borderId="18" xfId="0" applyFont="1" applyFill="1" applyBorder="1" applyAlignment="1">
      <alignment horizontal="center" vertical="center"/>
    </xf>
    <xf numFmtId="0" fontId="24" fillId="3" borderId="19" xfId="0" applyFont="1" applyFill="1" applyBorder="1" applyAlignment="1">
      <alignment horizontal="center" vertical="center"/>
    </xf>
    <xf numFmtId="0" fontId="24" fillId="3" borderId="15" xfId="0" applyFont="1" applyFill="1" applyBorder="1" applyAlignment="1">
      <alignment horizontal="center" vertical="center"/>
    </xf>
    <xf numFmtId="0" fontId="33" fillId="0" borderId="16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41" fillId="0" borderId="39" xfId="0" applyFont="1" applyBorder="1" applyAlignment="1">
      <alignment horizontal="left" wrapText="1"/>
    </xf>
    <xf numFmtId="0" fontId="41" fillId="0" borderId="40" xfId="0" applyFont="1" applyBorder="1" applyAlignment="1">
      <alignment horizontal="left" wrapText="1"/>
    </xf>
    <xf numFmtId="0" fontId="41" fillId="0" borderId="41" xfId="0" applyFont="1" applyBorder="1" applyAlignment="1">
      <alignment horizontal="left" wrapText="1"/>
    </xf>
    <xf numFmtId="0" fontId="41" fillId="0" borderId="12" xfId="0" applyFont="1" applyBorder="1" applyAlignment="1">
      <alignment horizontal="left" wrapText="1"/>
    </xf>
    <xf numFmtId="0" fontId="41" fillId="0" borderId="0" xfId="0" applyFont="1" applyBorder="1" applyAlignment="1">
      <alignment horizontal="left" wrapText="1"/>
    </xf>
    <xf numFmtId="0" fontId="41" fillId="0" borderId="11" xfId="0" applyFont="1" applyBorder="1" applyAlignment="1">
      <alignment horizontal="left" wrapText="1"/>
    </xf>
    <xf numFmtId="0" fontId="41" fillId="0" borderId="42" xfId="0" applyFont="1" applyBorder="1" applyAlignment="1">
      <alignment horizontal="left" wrapText="1"/>
    </xf>
    <xf numFmtId="0" fontId="41" fillId="0" borderId="43" xfId="0" applyFont="1" applyBorder="1" applyAlignment="1">
      <alignment horizontal="left" wrapText="1"/>
    </xf>
    <xf numFmtId="0" fontId="41" fillId="0" borderId="29" xfId="0" applyFont="1" applyBorder="1" applyAlignment="1">
      <alignment horizontal="left" wrapText="1"/>
    </xf>
  </cellXfs>
  <cellStyles count="2">
    <cellStyle name="Normalny" xfId="0" builtinId="0"/>
    <cellStyle name="Normalny_baza danych IM BM" xfId="1"/>
  </cellStyles>
  <dxfs count="4">
    <dxf>
      <font>
        <sz val="9"/>
      </font>
    </dxf>
    <dxf>
      <font>
        <sz val="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1</xdr:row>
          <xdr:rowOff>0</xdr:rowOff>
        </xdr:from>
        <xdr:to>
          <xdr:col>14</xdr:col>
          <xdr:colOff>247650</xdr:colOff>
          <xdr:row>22</xdr:row>
          <xdr:rowOff>28575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PANEL UŻYTKOWNIKA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47625</xdr:rowOff>
        </xdr:from>
        <xdr:to>
          <xdr:col>3</xdr:col>
          <xdr:colOff>904875</xdr:colOff>
          <xdr:row>12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DOKUMENTY DOSTAWCY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57150</xdr:rowOff>
        </xdr:from>
        <xdr:to>
          <xdr:col>3</xdr:col>
          <xdr:colOff>904875</xdr:colOff>
          <xdr:row>16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ZAPISZ WYGENEROWANE DOKUMENTY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ZAKUPY\DOKUMENTACJA_PIORIN\DOKUMENTY%20DOSTAWCY%20A2015\WZORY\0%20BAUMAX%20AT%20WZ&#211;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ZÓR"/>
      <sheetName val="adresy"/>
    </sheetNames>
    <sheetDataSet>
      <sheetData sheetId="0"/>
      <sheetData sheetId="1">
        <row r="1">
          <cell r="C1" t="str">
            <v>NAZWA SKLEPU</v>
          </cell>
        </row>
        <row r="2">
          <cell r="C2" t="str">
            <v>BAUMAX AT Amstetten</v>
          </cell>
        </row>
        <row r="3">
          <cell r="C3" t="str">
            <v>BAUMAX AT Aurolzmünster</v>
          </cell>
        </row>
        <row r="4">
          <cell r="C4" t="str">
            <v>BAUMAX AT Baden</v>
          </cell>
        </row>
        <row r="5">
          <cell r="C5" t="str">
            <v>BAUMAX AT Braunau</v>
          </cell>
        </row>
        <row r="6">
          <cell r="C6" t="str">
            <v>BAUMAX AT Bruck</v>
          </cell>
        </row>
        <row r="7">
          <cell r="C7" t="str">
            <v>BAUMAX AT Dornbirn</v>
          </cell>
        </row>
        <row r="8">
          <cell r="C8" t="str">
            <v>BAUMAX AT Eisenstadt</v>
          </cell>
        </row>
        <row r="9">
          <cell r="C9" t="str">
            <v>BAUMAX AT Feldkirchen</v>
          </cell>
        </row>
        <row r="10">
          <cell r="C10" t="str">
            <v>BAUMAX AT Freistadt</v>
          </cell>
        </row>
        <row r="11">
          <cell r="C11" t="str">
            <v>BAUMAX AT Gänserndorf</v>
          </cell>
        </row>
        <row r="12">
          <cell r="C12" t="str">
            <v>BAUMAX AT Gmunden</v>
          </cell>
        </row>
        <row r="13">
          <cell r="C13" t="str">
            <v>BAUMAX AT Gmünd</v>
          </cell>
        </row>
        <row r="14">
          <cell r="C14" t="str">
            <v>BAUMAX AT Gralla</v>
          </cell>
        </row>
        <row r="15">
          <cell r="C15" t="str">
            <v>BAUMAX AT Graz Nord</v>
          </cell>
        </row>
        <row r="16">
          <cell r="C16" t="str">
            <v>BAUMAX AT Graz Ost</v>
          </cell>
        </row>
        <row r="17">
          <cell r="C17" t="str">
            <v>BAUMAX AT Hallein</v>
          </cell>
        </row>
        <row r="18">
          <cell r="C18" t="str">
            <v>BAUMAX AT Horn-Frauenhofen</v>
          </cell>
        </row>
        <row r="19">
          <cell r="C19" t="str">
            <v>BAUMAX AT Innsbruck</v>
          </cell>
        </row>
        <row r="20">
          <cell r="C20" t="str">
            <v>BAUMAX AT Judenburg</v>
          </cell>
        </row>
        <row r="21">
          <cell r="C21" t="str">
            <v>BAUMAX AT Klagenfurt Nord</v>
          </cell>
        </row>
        <row r="22">
          <cell r="C22" t="str">
            <v>BAUMAX AT Klosterneuburg</v>
          </cell>
        </row>
        <row r="23">
          <cell r="C23" t="str">
            <v>BAUMAX AT Krems</v>
          </cell>
        </row>
        <row r="24">
          <cell r="C24" t="str">
            <v>BAUMAX AT Kufstein</v>
          </cell>
        </row>
        <row r="25">
          <cell r="C25" t="str">
            <v>BAUMAX AT Leoben</v>
          </cell>
        </row>
        <row r="26">
          <cell r="C26" t="str">
            <v>BAUMAX AT Lienz</v>
          </cell>
        </row>
        <row r="27">
          <cell r="C27" t="str">
            <v>BAUMAX AT Liezen</v>
          </cell>
        </row>
        <row r="28">
          <cell r="C28" t="str">
            <v>BAUMAX AT Linz-Dornach</v>
          </cell>
        </row>
        <row r="29">
          <cell r="C29" t="str">
            <v>BAUMAX AT Linz-Leonding</v>
          </cell>
        </row>
        <row r="30">
          <cell r="C30" t="str">
            <v>BAUMAX AT Mattighofen</v>
          </cell>
        </row>
        <row r="31">
          <cell r="C31" t="str">
            <v>BAUMAX AT Mauthausen</v>
          </cell>
        </row>
        <row r="32">
          <cell r="C32" t="str">
            <v>BAUMAX AT Mistelbach</v>
          </cell>
        </row>
        <row r="33">
          <cell r="C33" t="str">
            <v>BAUMAX AT Mürzzuschlag / Hönigsberg</v>
          </cell>
        </row>
        <row r="34">
          <cell r="C34" t="str">
            <v>BAUMAX AT Neulengbach</v>
          </cell>
        </row>
        <row r="35">
          <cell r="C35" t="str">
            <v>BAUMAX AT Neunkirchen</v>
          </cell>
        </row>
        <row r="36">
          <cell r="C36" t="str">
            <v>BAUMAX AT Pöchlarn</v>
          </cell>
        </row>
        <row r="37">
          <cell r="C37" t="str">
            <v>BAUMAX AT Rankweil</v>
          </cell>
        </row>
        <row r="38">
          <cell r="C38" t="str">
            <v>BAUMAX AT Rosental</v>
          </cell>
        </row>
        <row r="39">
          <cell r="C39" t="str">
            <v>BAUMAX AT Saalfelden</v>
          </cell>
        </row>
        <row r="40">
          <cell r="C40" t="str">
            <v>BAUMAX AT Salzburg Lengfelden</v>
          </cell>
        </row>
        <row r="41">
          <cell r="C41" t="str">
            <v>BAUMAX AT Salzburg Maxglan</v>
          </cell>
        </row>
        <row r="42">
          <cell r="C42" t="str">
            <v>BAUMAX AT Schwechat</v>
          </cell>
        </row>
        <row r="43">
          <cell r="C43" t="str">
            <v>BAUMAX AT Spittal</v>
          </cell>
        </row>
        <row r="44">
          <cell r="C44" t="str">
            <v>BAUMAX AT Steyr</v>
          </cell>
        </row>
        <row r="45">
          <cell r="C45" t="str">
            <v>BAUMAX AT Stockerau</v>
          </cell>
        </row>
        <row r="46">
          <cell r="C46" t="str">
            <v>BAUMAX AT St. Florian / Schärding</v>
          </cell>
        </row>
        <row r="47">
          <cell r="C47" t="str">
            <v>BAUMAX AT St. Pölten Nord I</v>
          </cell>
        </row>
        <row r="48">
          <cell r="C48" t="str">
            <v>BAUMAX AT St. Pölten Süd II</v>
          </cell>
        </row>
        <row r="49">
          <cell r="C49" t="str">
            <v>BAUMAX AT St. Valentin</v>
          </cell>
        </row>
        <row r="50">
          <cell r="C50" t="str">
            <v>BAUMAX AT Tulln</v>
          </cell>
        </row>
        <row r="51">
          <cell r="C51" t="str">
            <v>BAUMAX AT Villach</v>
          </cell>
        </row>
        <row r="52">
          <cell r="C52" t="str">
            <v>BAUMAX AT Vöcklabruck</v>
          </cell>
        </row>
        <row r="53">
          <cell r="C53" t="str">
            <v>BAUMAX AT Vomp</v>
          </cell>
        </row>
        <row r="54">
          <cell r="C54" t="str">
            <v>BAUMAX AT Völkermarkt</v>
          </cell>
        </row>
        <row r="55">
          <cell r="C55" t="str">
            <v>BAUMAX AT Wels</v>
          </cell>
        </row>
        <row r="56">
          <cell r="C56" t="str">
            <v>BAUMAX AT Wien 21</v>
          </cell>
        </row>
        <row r="57">
          <cell r="C57" t="str">
            <v>BAUMAX AT Wien Aspern</v>
          </cell>
        </row>
        <row r="58">
          <cell r="C58" t="str">
            <v>BAUMAX AT Wien Stadlau</v>
          </cell>
        </row>
        <row r="59">
          <cell r="C59" t="str">
            <v>BAUMAX AT Wien 23</v>
          </cell>
        </row>
        <row r="60">
          <cell r="C60" t="str">
            <v>BAUMAX AT Wiener Neustadt</v>
          </cell>
        </row>
        <row r="61">
          <cell r="C61" t="str">
            <v>BAUMAX AT Zwettl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dp_gen-0.4%20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636.444846759259" createdVersion="5" refreshedVersion="5" minRefreshableVersion="3" recordCount="96">
  <cacheSource type="worksheet">
    <worksheetSource ref="A1:A1048576" sheet="klienci" r:id="rId2"/>
  </cacheSource>
  <cacheFields count="1">
    <cacheField name="Klient" numFmtId="0">
      <sharedItems containsBlank="1" count="3">
        <s v="SKLEP"/>
        <s v="MAGAZY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6">
  <r>
    <x v="0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LIENCI" cacheId="19" applyNumberFormats="0" applyBorderFormats="0" applyFontFormats="0" applyPatternFormats="0" applyAlignmentFormats="0" applyWidthHeightFormats="1" dataCaption="Wartości" showMissing="0" updatedVersion="5" minRefreshableVersion="3" useAutoFormatting="1" rowGrandTotals="0" colGrandTotals="0" itemPrintTitles="1" createdVersion="5" indent="0" outline="1" outlineData="1" multipleFieldFilters="0" rowHeaderCaption="UNIKALNI KLIENCI">
  <location ref="J1:J3" firstHeaderRow="1" firstDataRow="1" firstDataCol="1"/>
  <pivotFields count="1">
    <pivotField axis="axisRow" showAll="0" defaultSubtotal="0">
      <items count="3">
        <item x="0"/>
        <item x="2"/>
        <item x="1"/>
      </items>
    </pivotField>
  </pivotFields>
  <rowFields count="1">
    <field x="0"/>
  </rowFields>
  <rowItems count="2">
    <i>
      <x/>
    </i>
    <i>
      <x v="2"/>
    </i>
  </rowItems>
  <colItems count="1">
    <i/>
  </colItems>
  <formats count="2">
    <format dxfId="1">
      <pivotArea type="all" dataOnly="0" outline="0" fieldPosition="0"/>
    </format>
    <format dxfId="0">
      <pivotArea field="0" type="button" dataOnly="0" labelOnly="1" outline="0" axis="axisRow" fieldPosition="0"/>
    </format>
  </formats>
  <pivotTableStyleInfo name="PivotStyleMedium9" showRowHeaders="1" showColHeaders="1" showRowStripes="0" showColStripes="0" showLastColumn="1"/>
  <filters count="1">
    <filter fld="0" type="captionNotEqual" evalOrder="-1" id="1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AX141"/>
  <sheetViews>
    <sheetView tabSelected="1" zoomScale="110" zoomScaleNormal="110" workbookViewId="0">
      <selection activeCell="G13" sqref="G13"/>
    </sheetView>
  </sheetViews>
  <sheetFormatPr defaultColWidth="9.125" defaultRowHeight="12" x14ac:dyDescent="0.2"/>
  <cols>
    <col min="1" max="1" width="7.375" style="13" customWidth="1"/>
    <col min="2" max="4" width="13.75" style="9" customWidth="1"/>
    <col min="5" max="5" width="17.875" style="9" customWidth="1"/>
    <col min="6" max="9" width="13.75" style="9" customWidth="1"/>
    <col min="10" max="10" width="4" style="13" customWidth="1"/>
    <col min="11" max="49" width="9.125" style="13"/>
    <col min="50" max="16384" width="9.125" style="9"/>
  </cols>
  <sheetData>
    <row r="1" spans="1:50" s="13" customFormat="1" ht="20.25" customHeight="1" x14ac:dyDescent="0.2">
      <c r="B1" s="15"/>
      <c r="AX1" s="15"/>
    </row>
    <row r="2" spans="1:50" ht="37.5" hidden="1" customHeight="1" x14ac:dyDescent="0.2">
      <c r="B2" s="139" t="s">
        <v>55</v>
      </c>
      <c r="C2" s="140"/>
      <c r="D2" s="140"/>
      <c r="E2" s="140"/>
      <c r="F2" s="140"/>
      <c r="G2" s="140"/>
      <c r="H2" s="140"/>
      <c r="I2" s="141"/>
    </row>
    <row r="3" spans="1:50" s="13" customFormat="1" ht="22.5" customHeight="1" x14ac:dyDescent="0.2">
      <c r="B3" s="16"/>
      <c r="C3" s="14"/>
      <c r="D3" s="14"/>
      <c r="E3" s="14"/>
      <c r="F3" s="144" t="s">
        <v>69</v>
      </c>
      <c r="G3" s="145"/>
      <c r="H3" s="145"/>
      <c r="I3" s="146"/>
      <c r="J3" s="14"/>
      <c r="K3" s="14"/>
      <c r="L3" s="147" t="s">
        <v>122</v>
      </c>
      <c r="M3" s="148"/>
      <c r="N3" s="149"/>
      <c r="AX3" s="15"/>
    </row>
    <row r="4" spans="1:50" s="11" customFormat="1" ht="6.75" customHeight="1" x14ac:dyDescent="0.2">
      <c r="A4" s="17"/>
      <c r="B4" s="45"/>
      <c r="C4" s="46"/>
      <c r="D4" s="46"/>
      <c r="E4" s="46"/>
      <c r="F4" s="46"/>
      <c r="G4" s="46"/>
      <c r="H4" s="46"/>
      <c r="I4" s="47"/>
      <c r="J4" s="43"/>
      <c r="L4" s="150"/>
      <c r="M4" s="151"/>
      <c r="N4" s="152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</row>
    <row r="5" spans="1:50" s="11" customFormat="1" ht="36" customHeight="1" x14ac:dyDescent="0.2">
      <c r="A5" s="17"/>
      <c r="B5" s="48" t="s">
        <v>39</v>
      </c>
      <c r="C5" s="21" t="s">
        <v>40</v>
      </c>
      <c r="D5" s="21" t="s">
        <v>41</v>
      </c>
      <c r="E5" s="21" t="s">
        <v>42</v>
      </c>
      <c r="F5" s="21" t="s">
        <v>17</v>
      </c>
      <c r="G5" s="21" t="s">
        <v>43</v>
      </c>
      <c r="H5" s="21" t="s">
        <v>44</v>
      </c>
      <c r="I5" s="49" t="s">
        <v>57</v>
      </c>
      <c r="J5" s="43"/>
      <c r="K5" s="18" t="str">
        <f ca="1">CONCATENATE(WEEKNUM(TODAY(),2),"/",YEAR(TODAY()))</f>
        <v>44/2016</v>
      </c>
      <c r="L5" s="153"/>
      <c r="M5" s="154"/>
      <c r="N5" s="155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</row>
    <row r="6" spans="1:50" ht="24.75" customHeight="1" x14ac:dyDescent="0.2">
      <c r="B6" s="53">
        <v>1</v>
      </c>
      <c r="C6" s="54">
        <f>COUNTA(zbiorczy!I2:XFD2)</f>
        <v>2</v>
      </c>
      <c r="D6" s="50">
        <f>B6+C6-1</f>
        <v>2</v>
      </c>
      <c r="E6" s="55" t="s">
        <v>99</v>
      </c>
      <c r="F6" s="51">
        <v>1</v>
      </c>
      <c r="G6" s="51" t="s">
        <v>56</v>
      </c>
      <c r="H6" s="55" t="s">
        <v>103</v>
      </c>
      <c r="I6" s="56">
        <v>42450</v>
      </c>
      <c r="J6" s="16"/>
      <c r="K6" s="18" t="str">
        <f ca="1">CONCATENATE(WEEKNUM(TODAY(),2)-1,"/",YEAR(TODAY()))</f>
        <v>43/2016</v>
      </c>
      <c r="L6" s="14"/>
    </row>
    <row r="7" spans="1:50" s="13" customFormat="1" ht="8.25" customHeight="1" x14ac:dyDescent="0.2">
      <c r="B7" s="52" t="s">
        <v>70</v>
      </c>
      <c r="C7" s="44"/>
      <c r="D7" s="44"/>
      <c r="E7" s="52" t="s">
        <v>70</v>
      </c>
      <c r="F7" s="52" t="s">
        <v>70</v>
      </c>
      <c r="G7" s="52" t="s">
        <v>70</v>
      </c>
      <c r="H7" s="52" t="s">
        <v>70</v>
      </c>
      <c r="I7" s="52" t="s">
        <v>70</v>
      </c>
      <c r="J7" s="14"/>
      <c r="K7" s="18" t="str">
        <f ca="1">CONCATENATE(WEEKNUM(TODAY(),2)+1,"/",YEAR(TODAY()))</f>
        <v>45/2016</v>
      </c>
      <c r="L7" s="14"/>
      <c r="AX7" s="15"/>
    </row>
    <row r="8" spans="1:50" s="13" customFormat="1" ht="8.25" customHeight="1" x14ac:dyDescent="0.2">
      <c r="B8" s="16"/>
      <c r="C8" s="23"/>
      <c r="D8" s="14"/>
      <c r="E8" s="14"/>
      <c r="F8" s="14"/>
      <c r="G8" s="14"/>
      <c r="H8" s="14"/>
      <c r="I8" s="14"/>
      <c r="J8" s="14"/>
      <c r="K8" s="19"/>
      <c r="L8" s="14"/>
      <c r="AX8" s="15"/>
    </row>
    <row r="9" spans="1:50" s="13" customFormat="1" ht="13.5" customHeight="1" x14ac:dyDescent="0.2">
      <c r="B9" s="22"/>
      <c r="D9" s="23"/>
      <c r="J9" s="14"/>
      <c r="K9" s="22"/>
      <c r="L9" s="42" t="s">
        <v>61</v>
      </c>
      <c r="M9" s="142" t="str">
        <f>UPPER(CONCATENATE(B6,"/",H6,"/",MID(E6,1,3)))</f>
        <v>1/38/2016/SKL</v>
      </c>
      <c r="N9" s="143"/>
      <c r="AX9" s="15"/>
    </row>
    <row r="10" spans="1:50" s="13" customFormat="1" ht="8.25" customHeight="1" x14ac:dyDescent="0.2">
      <c r="B10" s="16"/>
      <c r="C10" s="14"/>
      <c r="D10" s="14"/>
      <c r="E10" s="14"/>
      <c r="F10" s="14"/>
      <c r="G10" s="14"/>
      <c r="H10" s="14"/>
      <c r="I10" s="14"/>
      <c r="J10" s="14"/>
      <c r="K10" s="14"/>
      <c r="L10" s="14"/>
      <c r="AX10" s="15"/>
    </row>
    <row r="11" spans="1:50" s="13" customFormat="1" ht="11.25" customHeight="1" x14ac:dyDescent="0.2">
      <c r="B11" s="16"/>
      <c r="C11" s="14"/>
      <c r="D11" s="14"/>
      <c r="E11" s="14"/>
      <c r="F11" s="14"/>
      <c r="G11" s="14"/>
      <c r="H11" s="14"/>
      <c r="I11" s="14"/>
      <c r="J11" s="14"/>
      <c r="K11" s="14"/>
      <c r="L11" s="40" t="s">
        <v>62</v>
      </c>
      <c r="M11" s="137" t="s">
        <v>87</v>
      </c>
      <c r="N11" s="138"/>
      <c r="AX11" s="15"/>
    </row>
    <row r="12" spans="1:50" s="13" customFormat="1" ht="8.25" customHeight="1" x14ac:dyDescent="0.2">
      <c r="B12" s="16"/>
      <c r="C12" s="14"/>
      <c r="D12" s="14"/>
      <c r="E12" s="14"/>
      <c r="F12" s="14"/>
      <c r="G12" s="14"/>
      <c r="H12" s="14"/>
      <c r="I12" s="14"/>
      <c r="J12" s="14"/>
      <c r="K12" s="14"/>
      <c r="L12" s="41"/>
      <c r="AX12" s="15"/>
    </row>
    <row r="13" spans="1:50" s="13" customFormat="1" ht="11.25" customHeight="1" x14ac:dyDescent="0.2">
      <c r="B13" s="16"/>
      <c r="C13" s="14"/>
      <c r="D13" s="14"/>
      <c r="E13" s="14"/>
      <c r="F13" s="14"/>
      <c r="G13" s="14"/>
      <c r="H13" s="14"/>
      <c r="I13" s="14"/>
      <c r="J13" s="14"/>
      <c r="K13" s="14"/>
      <c r="L13" s="40" t="s">
        <v>63</v>
      </c>
      <c r="M13" s="137" t="s">
        <v>78</v>
      </c>
      <c r="N13" s="138"/>
      <c r="AX13" s="15"/>
    </row>
    <row r="14" spans="1:50" s="13" customFormat="1" ht="8.25" customHeight="1" x14ac:dyDescent="0.2">
      <c r="B14" s="16"/>
      <c r="C14" s="14"/>
      <c r="D14" s="14"/>
      <c r="E14" s="14"/>
      <c r="F14" s="14"/>
      <c r="G14" s="14"/>
      <c r="H14" s="14"/>
      <c r="I14" s="14"/>
      <c r="J14" s="14"/>
      <c r="K14" s="14"/>
      <c r="L14" s="41"/>
      <c r="AX14" s="15"/>
    </row>
    <row r="15" spans="1:50" s="13" customFormat="1" ht="11.25" customHeight="1" x14ac:dyDescent="0.2">
      <c r="B15" s="16"/>
      <c r="C15" s="14"/>
      <c r="D15" s="14"/>
      <c r="E15" s="14"/>
      <c r="F15" s="14"/>
      <c r="G15" s="14"/>
      <c r="H15" s="14"/>
      <c r="I15" s="14"/>
      <c r="J15" s="14"/>
      <c r="K15" s="14"/>
      <c r="L15" s="40" t="s">
        <v>65</v>
      </c>
      <c r="M15" s="137">
        <v>2</v>
      </c>
      <c r="N15" s="138"/>
      <c r="AX15" s="15"/>
    </row>
    <row r="16" spans="1:50" s="13" customFormat="1" ht="8.25" customHeight="1" x14ac:dyDescent="0.2">
      <c r="B16" s="16"/>
      <c r="C16" s="14"/>
      <c r="D16" s="14"/>
      <c r="E16" s="14"/>
      <c r="F16" s="14"/>
      <c r="G16" s="14"/>
      <c r="H16" s="14"/>
      <c r="I16" s="14"/>
      <c r="J16" s="14"/>
      <c r="K16" s="14"/>
      <c r="L16" s="41"/>
      <c r="AX16" s="15"/>
    </row>
    <row r="17" spans="2:50" s="13" customFormat="1" ht="11.25" customHeight="1" x14ac:dyDescent="0.2">
      <c r="B17" s="16"/>
      <c r="C17" s="14"/>
      <c r="D17" s="14"/>
      <c r="E17" s="14"/>
      <c r="F17" s="14"/>
      <c r="G17" s="14"/>
      <c r="H17" s="14"/>
      <c r="I17" s="14"/>
      <c r="J17" s="14"/>
      <c r="K17" s="14"/>
      <c r="L17" s="40" t="s">
        <v>66</v>
      </c>
      <c r="M17" s="137">
        <v>3</v>
      </c>
      <c r="N17" s="138"/>
      <c r="AX17" s="15"/>
    </row>
    <row r="18" spans="2:50" s="13" customFormat="1" ht="8.25" customHeight="1" x14ac:dyDescent="0.2">
      <c r="B18" s="16"/>
      <c r="C18" s="14"/>
      <c r="D18" s="14"/>
      <c r="E18" s="14"/>
      <c r="F18" s="14"/>
      <c r="G18" s="14"/>
      <c r="H18" s="14"/>
      <c r="I18" s="14"/>
      <c r="J18" s="14"/>
      <c r="K18" s="14"/>
      <c r="L18" s="41"/>
      <c r="AX18" s="15"/>
    </row>
    <row r="19" spans="2:50" s="13" customFormat="1" ht="11.25" customHeight="1" x14ac:dyDescent="0.2">
      <c r="B19" s="16"/>
      <c r="C19" s="14"/>
      <c r="D19" s="14"/>
      <c r="E19" s="14"/>
      <c r="F19" s="14"/>
      <c r="G19" s="14"/>
      <c r="H19" s="14"/>
      <c r="I19" s="14"/>
      <c r="J19" s="14"/>
      <c r="K19" s="14"/>
      <c r="L19" s="40" t="s">
        <v>64</v>
      </c>
      <c r="M19" s="137">
        <f ca="1">COUNTA(INDIRECT(CONCATENATE("zbiorczy!",M11,M17)):INDIRECT(CONCATENATE("zbiorczy!",M11,"1000")))</f>
        <v>30</v>
      </c>
      <c r="N19" s="138"/>
      <c r="AX19" s="15"/>
    </row>
    <row r="20" spans="2:50" s="13" customFormat="1" ht="8.25" customHeight="1" x14ac:dyDescent="0.2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41"/>
      <c r="AX20" s="15"/>
    </row>
    <row r="21" spans="2:50" s="13" customFormat="1" ht="11.25" customHeight="1" x14ac:dyDescent="0.2">
      <c r="B21" s="16"/>
      <c r="C21" s="14"/>
      <c r="D21" s="14"/>
      <c r="E21" s="14"/>
      <c r="F21" s="14"/>
      <c r="G21" s="14"/>
      <c r="H21" s="14"/>
      <c r="I21" s="14"/>
      <c r="J21" s="14"/>
      <c r="K21" s="14"/>
      <c r="L21" s="40" t="s">
        <v>67</v>
      </c>
      <c r="M21" s="137" t="s">
        <v>68</v>
      </c>
      <c r="N21" s="138"/>
      <c r="AX21" s="15"/>
    </row>
    <row r="22" spans="2:50" s="13" customFormat="1" x14ac:dyDescent="0.2">
      <c r="B22" s="16"/>
      <c r="C22" s="14"/>
      <c r="D22" s="14"/>
      <c r="E22" s="14"/>
      <c r="F22" s="14"/>
      <c r="G22" s="14"/>
      <c r="H22" s="14"/>
      <c r="I22" s="14"/>
      <c r="J22" s="14"/>
      <c r="K22" s="14"/>
      <c r="L22" s="41"/>
      <c r="AX22" s="15"/>
    </row>
    <row r="23" spans="2:50" s="13" customFormat="1" x14ac:dyDescent="0.2">
      <c r="B23" s="16"/>
      <c r="C23" s="14"/>
      <c r="D23" s="14"/>
      <c r="E23" s="14"/>
      <c r="F23" s="14"/>
      <c r="G23" s="14"/>
      <c r="H23" s="14"/>
      <c r="I23" s="14"/>
      <c r="J23" s="14"/>
      <c r="K23" s="14"/>
      <c r="L23" s="14"/>
      <c r="AX23" s="15"/>
    </row>
    <row r="24" spans="2:50" s="13" customFormat="1" x14ac:dyDescent="0.2">
      <c r="B24" s="16"/>
      <c r="C24" s="14"/>
      <c r="D24" s="14"/>
      <c r="E24" s="14"/>
      <c r="F24" s="14"/>
      <c r="G24" s="14"/>
      <c r="H24" s="14"/>
      <c r="I24" s="14"/>
      <c r="J24" s="14"/>
      <c r="K24" s="14"/>
      <c r="L24" s="14"/>
      <c r="AX24" s="15"/>
    </row>
    <row r="25" spans="2:50" s="13" customFormat="1" x14ac:dyDescent="0.2">
      <c r="B25" s="16"/>
      <c r="C25" s="14"/>
      <c r="D25" s="14"/>
      <c r="E25" s="14"/>
      <c r="F25" s="14"/>
      <c r="G25" s="14"/>
      <c r="H25" s="14"/>
      <c r="I25" s="14"/>
      <c r="J25" s="14"/>
      <c r="K25" s="14"/>
      <c r="L25" s="14"/>
      <c r="AX25" s="15"/>
    </row>
    <row r="26" spans="2:50" s="13" customFormat="1" x14ac:dyDescent="0.2">
      <c r="B26" s="15"/>
      <c r="AX26" s="15"/>
    </row>
    <row r="27" spans="2:50" s="13" customFormat="1" x14ac:dyDescent="0.2">
      <c r="B27" s="15"/>
      <c r="AX27" s="15"/>
    </row>
    <row r="28" spans="2:50" s="13" customFormat="1" x14ac:dyDescent="0.2">
      <c r="B28" s="15"/>
      <c r="AX28" s="15"/>
    </row>
    <row r="29" spans="2:50" s="13" customFormat="1" x14ac:dyDescent="0.2">
      <c r="B29" s="15"/>
      <c r="AX29" s="15"/>
    </row>
    <row r="30" spans="2:50" s="13" customFormat="1" x14ac:dyDescent="0.2">
      <c r="B30" s="15"/>
      <c r="AX30" s="15"/>
    </row>
    <row r="31" spans="2:50" s="13" customFormat="1" x14ac:dyDescent="0.2">
      <c r="B31" s="15"/>
      <c r="AX31" s="15"/>
    </row>
    <row r="32" spans="2:50" s="13" customFormat="1" x14ac:dyDescent="0.2">
      <c r="B32" s="15"/>
      <c r="AX32" s="15"/>
    </row>
    <row r="33" spans="2:50" s="13" customFormat="1" x14ac:dyDescent="0.2">
      <c r="B33" s="15"/>
      <c r="AX33" s="15"/>
    </row>
    <row r="34" spans="2:50" s="13" customFormat="1" x14ac:dyDescent="0.2">
      <c r="B34" s="15"/>
      <c r="AX34" s="15"/>
    </row>
    <row r="35" spans="2:50" s="13" customFormat="1" x14ac:dyDescent="0.2">
      <c r="B35" s="15"/>
      <c r="AX35" s="15"/>
    </row>
    <row r="36" spans="2:50" s="13" customFormat="1" x14ac:dyDescent="0.2">
      <c r="B36" s="15"/>
      <c r="AX36" s="15"/>
    </row>
    <row r="37" spans="2:50" s="13" customFormat="1" x14ac:dyDescent="0.2">
      <c r="B37" s="15"/>
      <c r="AX37" s="15"/>
    </row>
    <row r="38" spans="2:50" s="13" customFormat="1" x14ac:dyDescent="0.2">
      <c r="B38" s="15"/>
      <c r="AX38" s="15"/>
    </row>
    <row r="39" spans="2:50" s="13" customFormat="1" x14ac:dyDescent="0.2">
      <c r="B39" s="15"/>
      <c r="AX39" s="15"/>
    </row>
    <row r="40" spans="2:50" s="13" customFormat="1" x14ac:dyDescent="0.2">
      <c r="B40" s="15"/>
      <c r="AX40" s="15"/>
    </row>
    <row r="41" spans="2:50" s="13" customFormat="1" x14ac:dyDescent="0.2">
      <c r="B41" s="15"/>
      <c r="AX41" s="15"/>
    </row>
    <row r="42" spans="2:50" s="13" customFormat="1" x14ac:dyDescent="0.2">
      <c r="B42" s="15"/>
      <c r="AX42" s="15"/>
    </row>
    <row r="43" spans="2:50" s="13" customFormat="1" x14ac:dyDescent="0.2">
      <c r="B43" s="15"/>
      <c r="AX43" s="15"/>
    </row>
    <row r="44" spans="2:50" s="13" customFormat="1" x14ac:dyDescent="0.2">
      <c r="B44" s="15"/>
      <c r="AX44" s="15"/>
    </row>
    <row r="45" spans="2:50" s="13" customFormat="1" x14ac:dyDescent="0.2">
      <c r="B45" s="15"/>
      <c r="AX45" s="15"/>
    </row>
    <row r="46" spans="2:50" s="13" customFormat="1" x14ac:dyDescent="0.2">
      <c r="B46" s="15"/>
      <c r="AX46" s="15"/>
    </row>
    <row r="47" spans="2:50" s="13" customFormat="1" x14ac:dyDescent="0.2">
      <c r="B47" s="15"/>
      <c r="AX47" s="15"/>
    </row>
    <row r="48" spans="2:50" s="13" customFormat="1" x14ac:dyDescent="0.2">
      <c r="B48" s="15"/>
      <c r="AX48" s="15"/>
    </row>
    <row r="49" spans="2:50" s="13" customFormat="1" x14ac:dyDescent="0.2">
      <c r="B49" s="15"/>
      <c r="AX49" s="15"/>
    </row>
    <row r="50" spans="2:50" s="13" customFormat="1" x14ac:dyDescent="0.2">
      <c r="B50" s="15"/>
      <c r="AX50" s="15"/>
    </row>
    <row r="51" spans="2:50" s="13" customFormat="1" x14ac:dyDescent="0.2">
      <c r="B51" s="15"/>
      <c r="AX51" s="15"/>
    </row>
    <row r="52" spans="2:50" s="13" customFormat="1" x14ac:dyDescent="0.2">
      <c r="B52" s="15"/>
      <c r="AX52" s="15"/>
    </row>
    <row r="53" spans="2:50" s="13" customFormat="1" x14ac:dyDescent="0.2">
      <c r="B53" s="15"/>
      <c r="AX53" s="15"/>
    </row>
    <row r="54" spans="2:50" s="13" customFormat="1" x14ac:dyDescent="0.2">
      <c r="B54" s="15"/>
      <c r="AX54" s="15"/>
    </row>
    <row r="55" spans="2:50" s="13" customFormat="1" x14ac:dyDescent="0.2">
      <c r="B55" s="15"/>
      <c r="AX55" s="15"/>
    </row>
    <row r="56" spans="2:50" s="13" customFormat="1" x14ac:dyDescent="0.2">
      <c r="B56" s="15"/>
      <c r="AX56" s="15"/>
    </row>
    <row r="57" spans="2:50" s="13" customFormat="1" x14ac:dyDescent="0.2">
      <c r="B57" s="15"/>
      <c r="AX57" s="15"/>
    </row>
    <row r="58" spans="2:50" s="13" customFormat="1" x14ac:dyDescent="0.2">
      <c r="B58" s="15"/>
      <c r="AX58" s="15"/>
    </row>
    <row r="59" spans="2:50" s="13" customFormat="1" x14ac:dyDescent="0.2">
      <c r="B59" s="15"/>
      <c r="AX59" s="15"/>
    </row>
    <row r="60" spans="2:50" s="13" customFormat="1" x14ac:dyDescent="0.2">
      <c r="B60" s="15"/>
      <c r="AX60" s="15"/>
    </row>
    <row r="61" spans="2:50" s="13" customFormat="1" x14ac:dyDescent="0.2">
      <c r="B61" s="15"/>
      <c r="AX61" s="15"/>
    </row>
    <row r="62" spans="2:50" s="13" customFormat="1" x14ac:dyDescent="0.2">
      <c r="B62" s="15"/>
      <c r="AX62" s="15"/>
    </row>
    <row r="63" spans="2:50" s="13" customFormat="1" x14ac:dyDescent="0.2">
      <c r="B63" s="15"/>
      <c r="AX63" s="15"/>
    </row>
    <row r="64" spans="2:50" s="13" customFormat="1" x14ac:dyDescent="0.2">
      <c r="B64" s="15"/>
      <c r="AX64" s="15"/>
    </row>
    <row r="65" spans="2:50" s="13" customFormat="1" x14ac:dyDescent="0.2">
      <c r="B65" s="15"/>
      <c r="AX65" s="15"/>
    </row>
    <row r="66" spans="2:50" s="13" customFormat="1" x14ac:dyDescent="0.2">
      <c r="B66" s="15"/>
      <c r="AX66" s="15"/>
    </row>
    <row r="67" spans="2:50" s="13" customFormat="1" x14ac:dyDescent="0.2">
      <c r="B67" s="15"/>
      <c r="AX67" s="15"/>
    </row>
    <row r="68" spans="2:50" s="13" customFormat="1" x14ac:dyDescent="0.2">
      <c r="B68" s="15"/>
      <c r="AX68" s="15"/>
    </row>
    <row r="69" spans="2:50" s="13" customFormat="1" x14ac:dyDescent="0.2">
      <c r="B69" s="15"/>
      <c r="AX69" s="15"/>
    </row>
    <row r="70" spans="2:50" s="13" customFormat="1" x14ac:dyDescent="0.2">
      <c r="B70" s="15"/>
      <c r="AX70" s="15"/>
    </row>
    <row r="71" spans="2:50" s="13" customFormat="1" x14ac:dyDescent="0.2">
      <c r="B71" s="15"/>
      <c r="AX71" s="15"/>
    </row>
    <row r="72" spans="2:50" s="13" customFormat="1" x14ac:dyDescent="0.2">
      <c r="B72" s="15"/>
      <c r="AX72" s="15"/>
    </row>
    <row r="73" spans="2:50" s="13" customFormat="1" x14ac:dyDescent="0.2">
      <c r="B73" s="15"/>
      <c r="AX73" s="15"/>
    </row>
    <row r="74" spans="2:50" s="13" customFormat="1" x14ac:dyDescent="0.2">
      <c r="B74" s="15"/>
      <c r="AX74" s="15"/>
    </row>
    <row r="75" spans="2:50" s="13" customFormat="1" x14ac:dyDescent="0.2">
      <c r="B75" s="15"/>
      <c r="AX75" s="15"/>
    </row>
    <row r="76" spans="2:50" s="13" customFormat="1" x14ac:dyDescent="0.2">
      <c r="B76" s="15"/>
      <c r="AX76" s="15"/>
    </row>
    <row r="77" spans="2:50" s="13" customFormat="1" x14ac:dyDescent="0.2">
      <c r="B77" s="15"/>
      <c r="AX77" s="15"/>
    </row>
    <row r="78" spans="2:50" s="13" customFormat="1" x14ac:dyDescent="0.2">
      <c r="B78" s="15"/>
      <c r="AX78" s="15"/>
    </row>
    <row r="79" spans="2:50" s="13" customFormat="1" x14ac:dyDescent="0.2">
      <c r="B79" s="15"/>
      <c r="AX79" s="15"/>
    </row>
    <row r="80" spans="2:50" s="13" customFormat="1" x14ac:dyDescent="0.2">
      <c r="B80" s="15"/>
      <c r="AX80" s="15"/>
    </row>
    <row r="81" spans="2:50" s="13" customFormat="1" x14ac:dyDescent="0.2">
      <c r="B81" s="15"/>
      <c r="AX81" s="15"/>
    </row>
    <row r="82" spans="2:50" s="13" customFormat="1" x14ac:dyDescent="0.2">
      <c r="B82" s="15"/>
      <c r="AX82" s="15"/>
    </row>
    <row r="83" spans="2:50" s="13" customFormat="1" x14ac:dyDescent="0.2">
      <c r="B83" s="15"/>
      <c r="AX83" s="15"/>
    </row>
    <row r="84" spans="2:50" s="13" customFormat="1" x14ac:dyDescent="0.2">
      <c r="B84" s="15"/>
      <c r="AX84" s="15"/>
    </row>
    <row r="85" spans="2:50" s="13" customFormat="1" x14ac:dyDescent="0.2">
      <c r="B85" s="15"/>
      <c r="AX85" s="15"/>
    </row>
    <row r="86" spans="2:50" s="13" customFormat="1" x14ac:dyDescent="0.2">
      <c r="B86" s="15"/>
      <c r="AX86" s="15"/>
    </row>
    <row r="87" spans="2:50" s="13" customFormat="1" x14ac:dyDescent="0.2">
      <c r="B87" s="15"/>
      <c r="AX87" s="15"/>
    </row>
    <row r="88" spans="2:50" s="13" customFormat="1" x14ac:dyDescent="0.2">
      <c r="B88" s="15"/>
      <c r="AX88" s="15"/>
    </row>
    <row r="89" spans="2:50" s="13" customFormat="1" x14ac:dyDescent="0.2">
      <c r="B89" s="15"/>
      <c r="AX89" s="15"/>
    </row>
    <row r="90" spans="2:50" s="13" customFormat="1" x14ac:dyDescent="0.2">
      <c r="B90" s="15"/>
      <c r="AX90" s="15"/>
    </row>
    <row r="91" spans="2:50" s="13" customFormat="1" x14ac:dyDescent="0.2">
      <c r="B91" s="15"/>
      <c r="AX91" s="15"/>
    </row>
    <row r="92" spans="2:50" s="13" customFormat="1" x14ac:dyDescent="0.2">
      <c r="B92" s="15"/>
      <c r="AX92" s="15"/>
    </row>
    <row r="93" spans="2:50" s="13" customFormat="1" x14ac:dyDescent="0.2">
      <c r="B93" s="15"/>
      <c r="AX93" s="15"/>
    </row>
    <row r="94" spans="2:50" s="13" customFormat="1" x14ac:dyDescent="0.2">
      <c r="B94" s="15"/>
      <c r="AX94" s="15"/>
    </row>
    <row r="95" spans="2:50" s="13" customFormat="1" x14ac:dyDescent="0.2">
      <c r="B95" s="15"/>
      <c r="AX95" s="15"/>
    </row>
    <row r="96" spans="2:50" s="13" customFormat="1" x14ac:dyDescent="0.2">
      <c r="B96" s="15"/>
      <c r="AX96" s="15"/>
    </row>
    <row r="97" spans="2:50" s="13" customFormat="1" x14ac:dyDescent="0.2">
      <c r="B97" s="15"/>
      <c r="AX97" s="15"/>
    </row>
    <row r="98" spans="2:50" s="13" customFormat="1" x14ac:dyDescent="0.2">
      <c r="B98" s="15"/>
      <c r="AX98" s="15"/>
    </row>
    <row r="99" spans="2:50" s="13" customFormat="1" x14ac:dyDescent="0.2">
      <c r="B99" s="15"/>
      <c r="AX99" s="15"/>
    </row>
    <row r="100" spans="2:50" s="13" customFormat="1" x14ac:dyDescent="0.2">
      <c r="B100" s="15"/>
      <c r="AX100" s="15"/>
    </row>
    <row r="101" spans="2:50" s="13" customFormat="1" x14ac:dyDescent="0.2">
      <c r="B101" s="15"/>
      <c r="AX101" s="15"/>
    </row>
    <row r="102" spans="2:50" s="13" customFormat="1" x14ac:dyDescent="0.2">
      <c r="B102" s="15"/>
      <c r="AX102" s="15"/>
    </row>
    <row r="103" spans="2:50" s="13" customFormat="1" x14ac:dyDescent="0.2">
      <c r="B103" s="15"/>
      <c r="AX103" s="15"/>
    </row>
    <row r="104" spans="2:50" s="13" customFormat="1" x14ac:dyDescent="0.2">
      <c r="B104" s="15"/>
      <c r="AX104" s="15"/>
    </row>
    <row r="105" spans="2:50" s="13" customFormat="1" x14ac:dyDescent="0.2">
      <c r="B105" s="15"/>
      <c r="AX105" s="15"/>
    </row>
    <row r="106" spans="2:50" s="13" customFormat="1" x14ac:dyDescent="0.2">
      <c r="B106" s="15"/>
      <c r="AX106" s="15"/>
    </row>
    <row r="107" spans="2:50" s="13" customFormat="1" x14ac:dyDescent="0.2">
      <c r="B107" s="15"/>
      <c r="AX107" s="15"/>
    </row>
    <row r="108" spans="2:50" s="13" customFormat="1" x14ac:dyDescent="0.2">
      <c r="B108" s="15"/>
      <c r="AX108" s="15"/>
    </row>
    <row r="109" spans="2:50" s="13" customFormat="1" x14ac:dyDescent="0.2">
      <c r="B109" s="15"/>
      <c r="AX109" s="15"/>
    </row>
    <row r="110" spans="2:50" s="13" customFormat="1" x14ac:dyDescent="0.2">
      <c r="B110" s="15"/>
      <c r="AX110" s="15"/>
    </row>
    <row r="111" spans="2:50" s="13" customFormat="1" x14ac:dyDescent="0.2">
      <c r="B111" s="15"/>
      <c r="AX111" s="15"/>
    </row>
    <row r="112" spans="2:50" s="13" customFormat="1" x14ac:dyDescent="0.2">
      <c r="B112" s="15"/>
      <c r="AX112" s="15"/>
    </row>
    <row r="113" spans="2:50" s="13" customFormat="1" x14ac:dyDescent="0.2">
      <c r="B113" s="15"/>
      <c r="AX113" s="15"/>
    </row>
    <row r="114" spans="2:50" s="13" customFormat="1" x14ac:dyDescent="0.2">
      <c r="B114" s="15"/>
      <c r="AX114" s="15"/>
    </row>
    <row r="115" spans="2:50" s="13" customFormat="1" x14ac:dyDescent="0.2">
      <c r="B115" s="15"/>
      <c r="AX115" s="15"/>
    </row>
    <row r="116" spans="2:50" s="13" customFormat="1" x14ac:dyDescent="0.2">
      <c r="B116" s="15"/>
      <c r="AX116" s="15"/>
    </row>
    <row r="117" spans="2:50" s="13" customFormat="1" x14ac:dyDescent="0.2">
      <c r="B117" s="15"/>
      <c r="AX117" s="15"/>
    </row>
    <row r="118" spans="2:50" s="13" customFormat="1" x14ac:dyDescent="0.2">
      <c r="B118" s="15"/>
      <c r="AX118" s="15"/>
    </row>
    <row r="119" spans="2:50" s="13" customFormat="1" x14ac:dyDescent="0.2">
      <c r="B119" s="15"/>
      <c r="AX119" s="15"/>
    </row>
    <row r="120" spans="2:50" s="13" customFormat="1" x14ac:dyDescent="0.2">
      <c r="B120" s="15"/>
      <c r="AX120" s="15"/>
    </row>
    <row r="121" spans="2:50" s="13" customFormat="1" x14ac:dyDescent="0.2">
      <c r="B121" s="15"/>
      <c r="AX121" s="15"/>
    </row>
    <row r="122" spans="2:50" s="13" customFormat="1" x14ac:dyDescent="0.2">
      <c r="B122" s="15"/>
      <c r="AX122" s="15"/>
    </row>
    <row r="123" spans="2:50" s="13" customFormat="1" x14ac:dyDescent="0.2">
      <c r="B123" s="15"/>
      <c r="AX123" s="15"/>
    </row>
    <row r="124" spans="2:50" s="13" customFormat="1" x14ac:dyDescent="0.2">
      <c r="B124" s="15"/>
      <c r="AX124" s="15"/>
    </row>
    <row r="125" spans="2:50" s="13" customFormat="1" x14ac:dyDescent="0.2">
      <c r="B125" s="15"/>
      <c r="AX125" s="15"/>
    </row>
    <row r="126" spans="2:50" s="13" customFormat="1" x14ac:dyDescent="0.2">
      <c r="B126" s="15"/>
      <c r="AX126" s="15"/>
    </row>
    <row r="127" spans="2:50" s="13" customFormat="1" x14ac:dyDescent="0.2">
      <c r="B127" s="15"/>
      <c r="AX127" s="15"/>
    </row>
    <row r="128" spans="2:50" s="13" customFormat="1" x14ac:dyDescent="0.2">
      <c r="B128" s="15"/>
      <c r="AX128" s="15"/>
    </row>
    <row r="129" spans="2:50" s="13" customFormat="1" x14ac:dyDescent="0.2">
      <c r="B129" s="15"/>
      <c r="AX129" s="15"/>
    </row>
    <row r="130" spans="2:50" s="13" customFormat="1" x14ac:dyDescent="0.2">
      <c r="B130" s="15"/>
      <c r="AX130" s="15"/>
    </row>
    <row r="131" spans="2:50" s="13" customFormat="1" x14ac:dyDescent="0.2">
      <c r="B131" s="15"/>
      <c r="AX131" s="15"/>
    </row>
    <row r="132" spans="2:50" s="13" customFormat="1" x14ac:dyDescent="0.2">
      <c r="B132" s="15"/>
      <c r="AX132" s="15"/>
    </row>
    <row r="133" spans="2:50" s="13" customFormat="1" x14ac:dyDescent="0.2">
      <c r="B133" s="15"/>
      <c r="AX133" s="15"/>
    </row>
    <row r="134" spans="2:50" s="13" customFormat="1" x14ac:dyDescent="0.2">
      <c r="B134" s="15"/>
      <c r="AX134" s="15"/>
    </row>
    <row r="135" spans="2:50" s="13" customFormat="1" x14ac:dyDescent="0.2">
      <c r="B135" s="15"/>
      <c r="AX135" s="15"/>
    </row>
    <row r="136" spans="2:50" s="13" customFormat="1" x14ac:dyDescent="0.2">
      <c r="B136" s="15"/>
      <c r="AX136" s="15"/>
    </row>
    <row r="137" spans="2:50" s="13" customFormat="1" x14ac:dyDescent="0.2">
      <c r="B137" s="15"/>
      <c r="AX137" s="15"/>
    </row>
    <row r="138" spans="2:50" s="13" customFormat="1" x14ac:dyDescent="0.2">
      <c r="B138" s="15"/>
      <c r="AX138" s="15"/>
    </row>
    <row r="139" spans="2:50" s="13" customFormat="1" x14ac:dyDescent="0.2">
      <c r="B139" s="15"/>
      <c r="AX139" s="15"/>
    </row>
    <row r="140" spans="2:50" s="13" customFormat="1" x14ac:dyDescent="0.2">
      <c r="B140" s="15"/>
      <c r="AX140" s="15"/>
    </row>
    <row r="141" spans="2:50" s="13" customFormat="1" x14ac:dyDescent="0.2">
      <c r="B141" s="15"/>
      <c r="AX141" s="15"/>
    </row>
  </sheetData>
  <mergeCells count="10">
    <mergeCell ref="M21:N21"/>
    <mergeCell ref="B2:I2"/>
    <mergeCell ref="M9:N9"/>
    <mergeCell ref="F3:I3"/>
    <mergeCell ref="L3:N5"/>
    <mergeCell ref="M11:N11"/>
    <mergeCell ref="M13:N13"/>
    <mergeCell ref="M15:N15"/>
    <mergeCell ref="M17:N17"/>
    <mergeCell ref="M19:N19"/>
  </mergeCells>
  <dataValidations count="4">
    <dataValidation type="list" showInputMessage="1" showErrorMessage="1" sqref="F6">
      <formula1>"1,2,3,4"</formula1>
    </dataValidation>
    <dataValidation type="list" showInputMessage="1" showErrorMessage="1" sqref="G6">
      <formula1>"CAC,"</formula1>
    </dataValidation>
    <dataValidation type="list" allowBlank="1" showInputMessage="1" showErrorMessage="1" sqref="H6">
      <formula1>$K$5:$K$7</formula1>
    </dataValidation>
    <dataValidation type="date" operator="greaterThanOrEqual" allowBlank="1" showInputMessage="1" showErrorMessage="1" sqref="I6">
      <formula1>42005</formula1>
    </dataValidation>
  </dataValidations>
  <pageMargins left="0.7" right="0.7" top="0.75" bottom="0.75" header="0.3" footer="0.3"/>
  <pageSetup paperSize="9" orientation="portrait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Group Box 7">
              <controlPr defaultSize="0" autoFill="0" autoPict="0">
                <anchor moveWithCells="1">
                  <from>
                    <xdr:col>0</xdr:col>
                    <xdr:colOff>285750</xdr:colOff>
                    <xdr:row>1</xdr:row>
                    <xdr:rowOff>0</xdr:rowOff>
                  </from>
                  <to>
                    <xdr:col>14</xdr:col>
                    <xdr:colOff>247650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DRUKUJ">
                <anchor moveWithCells="1" sizeWithCells="1">
                  <from>
                    <xdr:col>1</xdr:col>
                    <xdr:colOff>0</xdr:colOff>
                    <xdr:row>9</xdr:row>
                    <xdr:rowOff>47625</xdr:rowOff>
                  </from>
                  <to>
                    <xdr:col>3</xdr:col>
                    <xdr:colOff>904875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ZapiszArkuszJakoSkoroszyt">
                <anchor moveWithCells="1" sizeWithCells="1">
                  <from>
                    <xdr:col>1</xdr:col>
                    <xdr:colOff>9525</xdr:colOff>
                    <xdr:row>13</xdr:row>
                    <xdr:rowOff>57150</xdr:rowOff>
                  </from>
                  <to>
                    <xdr:col>3</xdr:col>
                    <xdr:colOff>904875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OFFSET(klienci!$J$2,0,0,COUNTA(klienci!$J:$J)-1,1)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pageSetUpPr fitToPage="1"/>
  </sheetPr>
  <dimension ref="A1:G52"/>
  <sheetViews>
    <sheetView topLeftCell="A46" workbookViewId="0">
      <selection activeCell="A50" sqref="A50:G52"/>
    </sheetView>
  </sheetViews>
  <sheetFormatPr defaultRowHeight="15" x14ac:dyDescent="0.25"/>
  <cols>
    <col min="1" max="1" width="10.25" customWidth="1"/>
    <col min="2" max="2" width="46.75" customWidth="1"/>
    <col min="3" max="3" width="8" customWidth="1"/>
    <col min="4" max="4" width="17.375" customWidth="1"/>
    <col min="5" max="5" width="10" customWidth="1"/>
    <col min="6" max="6" width="10.25" customWidth="1"/>
    <col min="7" max="7" width="11.75" customWidth="1"/>
  </cols>
  <sheetData>
    <row r="1" spans="1:7" ht="21" x14ac:dyDescent="0.25">
      <c r="A1" s="135" t="s">
        <v>0</v>
      </c>
      <c r="B1" s="135"/>
      <c r="C1" s="136" t="s">
        <v>104</v>
      </c>
      <c r="D1" s="136"/>
      <c r="E1" s="20"/>
      <c r="F1" s="20"/>
      <c r="G1" s="20"/>
    </row>
    <row r="2" spans="1:7" ht="15.75" x14ac:dyDescent="0.25">
      <c r="A2" s="124" t="s">
        <v>79</v>
      </c>
      <c r="B2" s="124"/>
      <c r="C2" s="124"/>
      <c r="D2" s="124"/>
      <c r="E2" s="124"/>
      <c r="F2" s="124"/>
      <c r="G2" s="124"/>
    </row>
    <row r="3" spans="1:7" ht="18.75" x14ac:dyDescent="0.3">
      <c r="A3" s="125" t="s">
        <v>2</v>
      </c>
      <c r="B3" s="125"/>
      <c r="C3" s="125"/>
      <c r="D3" s="125"/>
      <c r="E3" s="125"/>
      <c r="F3" s="125"/>
      <c r="G3" s="125"/>
    </row>
    <row r="4" spans="1:7" x14ac:dyDescent="0.25">
      <c r="A4" s="126" t="s">
        <v>3</v>
      </c>
      <c r="B4" s="126"/>
      <c r="C4" s="126"/>
      <c r="D4" s="1"/>
      <c r="E4" s="2"/>
      <c r="F4" s="1"/>
      <c r="G4" s="1"/>
    </row>
    <row r="5" spans="1:7" x14ac:dyDescent="0.25">
      <c r="A5" s="127" t="s">
        <v>4</v>
      </c>
      <c r="B5" s="127"/>
      <c r="C5" s="127"/>
      <c r="D5" s="1"/>
      <c r="E5" s="2"/>
      <c r="F5" s="1"/>
      <c r="G5" s="1"/>
    </row>
    <row r="6" spans="1:7" ht="16.5" thickBot="1" x14ac:dyDescent="0.3">
      <c r="A6" s="128" t="s">
        <v>80</v>
      </c>
      <c r="B6" s="128"/>
      <c r="C6" s="129"/>
      <c r="D6" s="3">
        <v>1001</v>
      </c>
      <c r="E6" s="2"/>
      <c r="F6" s="1"/>
      <c r="G6" s="1"/>
    </row>
    <row r="7" spans="1:7" x14ac:dyDescent="0.25">
      <c r="A7" s="130" t="s">
        <v>81</v>
      </c>
      <c r="B7" s="131"/>
      <c r="C7" s="4"/>
      <c r="D7" s="132" t="s">
        <v>82</v>
      </c>
      <c r="E7" s="133"/>
      <c r="F7" s="133"/>
      <c r="G7" s="134"/>
    </row>
    <row r="8" spans="1:7" x14ac:dyDescent="0.25">
      <c r="A8" s="112"/>
      <c r="B8" s="113"/>
      <c r="C8" s="4"/>
      <c r="D8" s="114"/>
      <c r="E8" s="115"/>
      <c r="F8" s="115"/>
      <c r="G8" s="116"/>
    </row>
    <row r="9" spans="1:7" x14ac:dyDescent="0.25">
      <c r="A9" s="117" t="s">
        <v>8</v>
      </c>
      <c r="B9" s="118"/>
      <c r="C9" s="4"/>
      <c r="D9" s="119" t="str">
        <f>VLOOKUP(D6,klienci!$B:$H,7,0)</f>
        <v>SKLEP NR 1
Popularna 1
00-000 Warszawa
POLSKA</v>
      </c>
      <c r="E9" s="120"/>
      <c r="F9" s="120"/>
      <c r="G9" s="121"/>
    </row>
    <row r="10" spans="1:7" x14ac:dyDescent="0.25">
      <c r="A10" s="117" t="s">
        <v>9</v>
      </c>
      <c r="B10" s="118"/>
      <c r="C10" s="4"/>
      <c r="D10" s="119"/>
      <c r="E10" s="120"/>
      <c r="F10" s="120"/>
      <c r="G10" s="121"/>
    </row>
    <row r="11" spans="1:7" x14ac:dyDescent="0.25">
      <c r="A11" s="117" t="s">
        <v>10</v>
      </c>
      <c r="B11" s="118"/>
      <c r="C11" s="4"/>
      <c r="D11" s="119"/>
      <c r="E11" s="120"/>
      <c r="F11" s="120"/>
      <c r="G11" s="121"/>
    </row>
    <row r="12" spans="1:7" x14ac:dyDescent="0.25">
      <c r="A12" s="122" t="s">
        <v>83</v>
      </c>
      <c r="B12" s="123"/>
      <c r="C12" s="4"/>
      <c r="D12" s="119"/>
      <c r="E12" s="120"/>
      <c r="F12" s="120"/>
      <c r="G12" s="121"/>
    </row>
    <row r="13" spans="1:7" ht="15.75" thickBot="1" x14ac:dyDescent="0.3">
      <c r="A13" s="98" t="s">
        <v>12</v>
      </c>
      <c r="B13" s="99"/>
      <c r="C13" s="4"/>
      <c r="D13" s="100"/>
      <c r="E13" s="101"/>
      <c r="F13" s="101"/>
      <c r="G13" s="102"/>
    </row>
    <row r="14" spans="1:7" x14ac:dyDescent="0.25">
      <c r="A14" s="97"/>
      <c r="B14" s="97"/>
      <c r="C14" s="97"/>
      <c r="D14" s="1"/>
      <c r="E14" s="2"/>
      <c r="F14" s="1"/>
      <c r="G14" s="1"/>
    </row>
    <row r="15" spans="1:7" x14ac:dyDescent="0.25">
      <c r="A15" s="6" t="s">
        <v>84</v>
      </c>
      <c r="B15" s="1"/>
      <c r="C15" s="1"/>
      <c r="D15" s="1"/>
      <c r="E15" s="2"/>
      <c r="F15" s="1"/>
      <c r="G15" s="1"/>
    </row>
    <row r="16" spans="1:7" x14ac:dyDescent="0.25">
      <c r="A16" s="24"/>
      <c r="B16" s="25"/>
      <c r="C16" s="26"/>
      <c r="D16" s="26" t="s">
        <v>14</v>
      </c>
      <c r="E16" s="27"/>
      <c r="F16" s="25"/>
      <c r="G16" s="25"/>
    </row>
    <row r="17" spans="1:7" x14ac:dyDescent="0.25">
      <c r="A17" s="28" t="s">
        <v>15</v>
      </c>
      <c r="B17" s="29" t="s">
        <v>16</v>
      </c>
      <c r="C17" s="29" t="s">
        <v>17</v>
      </c>
      <c r="D17" s="29" t="s">
        <v>18</v>
      </c>
      <c r="E17" s="30" t="s">
        <v>19</v>
      </c>
      <c r="F17" s="29" t="s">
        <v>20</v>
      </c>
      <c r="G17" s="29" t="s">
        <v>21</v>
      </c>
    </row>
    <row r="18" spans="1:7" x14ac:dyDescent="0.25">
      <c r="A18" s="31" t="s">
        <v>22</v>
      </c>
      <c r="B18" s="32" t="s">
        <v>23</v>
      </c>
      <c r="C18" s="32" t="s">
        <v>24</v>
      </c>
      <c r="D18" s="29" t="s">
        <v>25</v>
      </c>
      <c r="E18" s="33" t="s">
        <v>26</v>
      </c>
      <c r="F18" s="32" t="s">
        <v>27</v>
      </c>
      <c r="G18" s="32" t="s">
        <v>28</v>
      </c>
    </row>
    <row r="19" spans="1:7" ht="24" x14ac:dyDescent="0.25">
      <c r="A19" s="34" t="s">
        <v>29</v>
      </c>
      <c r="B19" s="34" t="s">
        <v>30</v>
      </c>
      <c r="C19" s="34" t="s">
        <v>31</v>
      </c>
      <c r="D19" s="35" t="s">
        <v>85</v>
      </c>
      <c r="E19" s="34" t="s">
        <v>33</v>
      </c>
      <c r="F19" s="34" t="s">
        <v>34</v>
      </c>
      <c r="G19" s="34" t="s">
        <v>35</v>
      </c>
    </row>
    <row r="20" spans="1:7" ht="34.5" x14ac:dyDescent="0.25">
      <c r="A20" s="36"/>
      <c r="B20" s="37"/>
      <c r="C20" s="37"/>
      <c r="D20" s="38" t="s">
        <v>86</v>
      </c>
      <c r="E20" s="38"/>
      <c r="F20" s="39" t="s">
        <v>37</v>
      </c>
      <c r="G20" s="37"/>
    </row>
    <row r="21" spans="1:7" x14ac:dyDescent="0.25">
      <c r="A21" s="65">
        <v>1</v>
      </c>
      <c r="B21" s="66" t="s">
        <v>120</v>
      </c>
      <c r="C21" s="65">
        <v>1</v>
      </c>
      <c r="D21" s="65" t="s">
        <v>56</v>
      </c>
      <c r="E21" s="67" t="s">
        <v>103</v>
      </c>
      <c r="F21" s="65">
        <v>200</v>
      </c>
      <c r="G21" s="65"/>
    </row>
    <row r="22" spans="1:7" ht="25.5" x14ac:dyDescent="0.25">
      <c r="A22" s="65">
        <v>2</v>
      </c>
      <c r="B22" s="66" t="s">
        <v>98</v>
      </c>
      <c r="C22" s="65">
        <v>1</v>
      </c>
      <c r="D22" s="65" t="s">
        <v>56</v>
      </c>
      <c r="E22" s="67" t="s">
        <v>103</v>
      </c>
      <c r="F22" s="65">
        <v>500</v>
      </c>
      <c r="G22" s="65"/>
    </row>
    <row r="23" spans="1:7" x14ac:dyDescent="0.25">
      <c r="A23" s="65">
        <v>3</v>
      </c>
      <c r="B23" s="66" t="s">
        <v>121</v>
      </c>
      <c r="C23" s="65">
        <v>1</v>
      </c>
      <c r="D23" s="65" t="s">
        <v>56</v>
      </c>
      <c r="E23" s="67" t="s">
        <v>103</v>
      </c>
      <c r="F23" s="65">
        <v>1500</v>
      </c>
      <c r="G23" s="65"/>
    </row>
    <row r="24" spans="1:7" ht="18.75" x14ac:dyDescent="0.25">
      <c r="A24" s="103">
        <v>42450</v>
      </c>
      <c r="B24" s="104"/>
      <c r="C24" s="104"/>
      <c r="D24" s="104"/>
      <c r="E24" s="104"/>
      <c r="F24" s="104"/>
      <c r="G24" s="105"/>
    </row>
    <row r="25" spans="1:7" ht="54" customHeight="1" x14ac:dyDescent="0.25">
      <c r="A25" s="106" t="s">
        <v>88</v>
      </c>
      <c r="B25" s="107"/>
      <c r="C25" s="107"/>
      <c r="D25" s="107"/>
      <c r="E25" s="107"/>
      <c r="F25" s="107"/>
      <c r="G25" s="108"/>
    </row>
    <row r="26" spans="1:7" x14ac:dyDescent="0.25">
      <c r="A26" s="109" t="s">
        <v>89</v>
      </c>
      <c r="B26" s="110"/>
      <c r="C26" s="110"/>
      <c r="D26" s="110"/>
      <c r="E26" s="110"/>
      <c r="F26" s="110"/>
      <c r="G26" s="111"/>
    </row>
    <row r="27" spans="1:7" ht="21" x14ac:dyDescent="0.25">
      <c r="A27" s="135" t="s">
        <v>0</v>
      </c>
      <c r="B27" s="135"/>
      <c r="C27" s="136" t="s">
        <v>128</v>
      </c>
      <c r="D27" s="136"/>
      <c r="E27" s="20"/>
      <c r="F27" s="20"/>
      <c r="G27" s="20"/>
    </row>
    <row r="28" spans="1:7" ht="15.75" x14ac:dyDescent="0.25">
      <c r="A28" s="124" t="s">
        <v>79</v>
      </c>
      <c r="B28" s="124"/>
      <c r="C28" s="124"/>
      <c r="D28" s="124"/>
      <c r="E28" s="124"/>
      <c r="F28" s="124"/>
      <c r="G28" s="124"/>
    </row>
    <row r="29" spans="1:7" ht="18.75" x14ac:dyDescent="0.3">
      <c r="A29" s="125" t="s">
        <v>2</v>
      </c>
      <c r="B29" s="125"/>
      <c r="C29" s="125"/>
      <c r="D29" s="125"/>
      <c r="E29" s="125"/>
      <c r="F29" s="125"/>
      <c r="G29" s="125"/>
    </row>
    <row r="30" spans="1:7" x14ac:dyDescent="0.25">
      <c r="A30" s="126" t="s">
        <v>3</v>
      </c>
      <c r="B30" s="126"/>
      <c r="C30" s="126"/>
      <c r="D30" s="1"/>
      <c r="E30" s="2"/>
      <c r="F30" s="1"/>
      <c r="G30" s="1"/>
    </row>
    <row r="31" spans="1:7" x14ac:dyDescent="0.25">
      <c r="A31" s="127" t="s">
        <v>4</v>
      </c>
      <c r="B31" s="127"/>
      <c r="C31" s="127"/>
      <c r="D31" s="1"/>
      <c r="E31" s="2"/>
      <c r="F31" s="1"/>
      <c r="G31" s="1"/>
    </row>
    <row r="32" spans="1:7" ht="16.5" thickBot="1" x14ac:dyDescent="0.3">
      <c r="A32" s="128" t="s">
        <v>80</v>
      </c>
      <c r="B32" s="128"/>
      <c r="C32" s="129"/>
      <c r="D32" s="3">
        <v>2001</v>
      </c>
      <c r="E32" s="2"/>
      <c r="F32" s="1"/>
      <c r="G32" s="1"/>
    </row>
    <row r="33" spans="1:7" x14ac:dyDescent="0.25">
      <c r="A33" s="130" t="s">
        <v>81</v>
      </c>
      <c r="B33" s="131"/>
      <c r="C33" s="4"/>
      <c r="D33" s="132" t="s">
        <v>82</v>
      </c>
      <c r="E33" s="133"/>
      <c r="F33" s="133"/>
      <c r="G33" s="134"/>
    </row>
    <row r="34" spans="1:7" x14ac:dyDescent="0.25">
      <c r="A34" s="112"/>
      <c r="B34" s="113"/>
      <c r="C34" s="4"/>
      <c r="D34" s="114"/>
      <c r="E34" s="115"/>
      <c r="F34" s="115"/>
      <c r="G34" s="116"/>
    </row>
    <row r="35" spans="1:7" x14ac:dyDescent="0.25">
      <c r="A35" s="117" t="s">
        <v>8</v>
      </c>
      <c r="B35" s="118"/>
      <c r="C35" s="4"/>
      <c r="D35" s="119" t="str">
        <f>VLOOKUP(D32,klienci!$B:$H,7,0)</f>
        <v>DC 1
Klubowa 2
00-000 Kraków
POLSKA</v>
      </c>
      <c r="E35" s="120"/>
      <c r="F35" s="120"/>
      <c r="G35" s="121"/>
    </row>
    <row r="36" spans="1:7" x14ac:dyDescent="0.25">
      <c r="A36" s="117" t="s">
        <v>9</v>
      </c>
      <c r="B36" s="118"/>
      <c r="C36" s="4"/>
      <c r="D36" s="119"/>
      <c r="E36" s="120"/>
      <c r="F36" s="120"/>
      <c r="G36" s="121"/>
    </row>
    <row r="37" spans="1:7" x14ac:dyDescent="0.25">
      <c r="A37" s="117" t="s">
        <v>10</v>
      </c>
      <c r="B37" s="118"/>
      <c r="C37" s="4"/>
      <c r="D37" s="119"/>
      <c r="E37" s="120"/>
      <c r="F37" s="120"/>
      <c r="G37" s="121"/>
    </row>
    <row r="38" spans="1:7" x14ac:dyDescent="0.25">
      <c r="A38" s="122" t="s">
        <v>83</v>
      </c>
      <c r="B38" s="123"/>
      <c r="C38" s="4"/>
      <c r="D38" s="119"/>
      <c r="E38" s="120"/>
      <c r="F38" s="120"/>
      <c r="G38" s="121"/>
    </row>
    <row r="39" spans="1:7" ht="15.75" thickBot="1" x14ac:dyDescent="0.3">
      <c r="A39" s="98" t="s">
        <v>12</v>
      </c>
      <c r="B39" s="99"/>
      <c r="C39" s="4"/>
      <c r="D39" s="100"/>
      <c r="E39" s="101"/>
      <c r="F39" s="101"/>
      <c r="G39" s="102"/>
    </row>
    <row r="40" spans="1:7" x14ac:dyDescent="0.25">
      <c r="A40" s="97"/>
      <c r="B40" s="97"/>
      <c r="C40" s="97"/>
      <c r="D40" s="1"/>
      <c r="E40" s="2"/>
      <c r="F40" s="1"/>
      <c r="G40" s="1"/>
    </row>
    <row r="41" spans="1:7" x14ac:dyDescent="0.25">
      <c r="A41" s="6" t="s">
        <v>84</v>
      </c>
      <c r="B41" s="1"/>
      <c r="C41" s="1"/>
      <c r="D41" s="1"/>
      <c r="E41" s="2"/>
      <c r="F41" s="1"/>
      <c r="G41" s="1"/>
    </row>
    <row r="42" spans="1:7" x14ac:dyDescent="0.25">
      <c r="A42" s="24"/>
      <c r="B42" s="25"/>
      <c r="C42" s="26"/>
      <c r="D42" s="26" t="s">
        <v>14</v>
      </c>
      <c r="E42" s="27"/>
      <c r="F42" s="25"/>
      <c r="G42" s="25"/>
    </row>
    <row r="43" spans="1:7" x14ac:dyDescent="0.25">
      <c r="A43" s="28" t="s">
        <v>15</v>
      </c>
      <c r="B43" s="29" t="s">
        <v>16</v>
      </c>
      <c r="C43" s="29" t="s">
        <v>17</v>
      </c>
      <c r="D43" s="29" t="s">
        <v>18</v>
      </c>
      <c r="E43" s="30" t="s">
        <v>19</v>
      </c>
      <c r="F43" s="29" t="s">
        <v>20</v>
      </c>
      <c r="G43" s="29" t="s">
        <v>21</v>
      </c>
    </row>
    <row r="44" spans="1:7" x14ac:dyDescent="0.25">
      <c r="A44" s="31" t="s">
        <v>22</v>
      </c>
      <c r="B44" s="32" t="s">
        <v>23</v>
      </c>
      <c r="C44" s="32" t="s">
        <v>24</v>
      </c>
      <c r="D44" s="29" t="s">
        <v>25</v>
      </c>
      <c r="E44" s="33" t="s">
        <v>26</v>
      </c>
      <c r="F44" s="32" t="s">
        <v>27</v>
      </c>
      <c r="G44" s="32" t="s">
        <v>28</v>
      </c>
    </row>
    <row r="45" spans="1:7" ht="24" x14ac:dyDescent="0.25">
      <c r="A45" s="34" t="s">
        <v>29</v>
      </c>
      <c r="B45" s="34" t="s">
        <v>30</v>
      </c>
      <c r="C45" s="34" t="s">
        <v>31</v>
      </c>
      <c r="D45" s="35" t="s">
        <v>85</v>
      </c>
      <c r="E45" s="34" t="s">
        <v>33</v>
      </c>
      <c r="F45" s="34" t="s">
        <v>34</v>
      </c>
      <c r="G45" s="34" t="s">
        <v>35</v>
      </c>
    </row>
    <row r="46" spans="1:7" ht="34.5" x14ac:dyDescent="0.25">
      <c r="A46" s="36"/>
      <c r="B46" s="37"/>
      <c r="C46" s="37"/>
      <c r="D46" s="38" t="s">
        <v>86</v>
      </c>
      <c r="E46" s="38"/>
      <c r="F46" s="39" t="s">
        <v>37</v>
      </c>
      <c r="G46" s="37"/>
    </row>
    <row r="47" spans="1:7" x14ac:dyDescent="0.25">
      <c r="A47" s="65">
        <v>1</v>
      </c>
      <c r="B47" s="66" t="s">
        <v>120</v>
      </c>
      <c r="C47" s="65">
        <v>1</v>
      </c>
      <c r="D47" s="65" t="s">
        <v>56</v>
      </c>
      <c r="E47" s="67" t="s">
        <v>103</v>
      </c>
      <c r="F47" s="65">
        <v>500</v>
      </c>
      <c r="G47" s="65"/>
    </row>
    <row r="48" spans="1:7" ht="25.5" x14ac:dyDescent="0.25">
      <c r="A48" s="65">
        <v>2</v>
      </c>
      <c r="B48" s="66" t="s">
        <v>98</v>
      </c>
      <c r="C48" s="65">
        <v>1</v>
      </c>
      <c r="D48" s="65" t="s">
        <v>56</v>
      </c>
      <c r="E48" s="67" t="s">
        <v>103</v>
      </c>
      <c r="F48" s="65">
        <v>5000</v>
      </c>
      <c r="G48" s="65"/>
    </row>
    <row r="49" spans="1:7" x14ac:dyDescent="0.25">
      <c r="A49" s="65">
        <v>3</v>
      </c>
      <c r="B49" s="66" t="s">
        <v>121</v>
      </c>
      <c r="C49" s="65">
        <v>1</v>
      </c>
      <c r="D49" s="65" t="s">
        <v>56</v>
      </c>
      <c r="E49" s="67" t="s">
        <v>103</v>
      </c>
      <c r="F49" s="65">
        <v>10000</v>
      </c>
      <c r="G49" s="65"/>
    </row>
    <row r="50" spans="1:7" ht="18.75" x14ac:dyDescent="0.25">
      <c r="A50" s="103">
        <v>42450</v>
      </c>
      <c r="B50" s="104"/>
      <c r="C50" s="104"/>
      <c r="D50" s="104"/>
      <c r="E50" s="104"/>
      <c r="F50" s="104"/>
      <c r="G50" s="105"/>
    </row>
    <row r="51" spans="1:7" ht="54" customHeight="1" x14ac:dyDescent="0.25">
      <c r="A51" s="106" t="s">
        <v>88</v>
      </c>
      <c r="B51" s="107"/>
      <c r="C51" s="107"/>
      <c r="D51" s="107"/>
      <c r="E51" s="107"/>
      <c r="F51" s="107"/>
      <c r="G51" s="108"/>
    </row>
    <row r="52" spans="1:7" x14ac:dyDescent="0.25">
      <c r="A52" s="109" t="s">
        <v>89</v>
      </c>
      <c r="B52" s="110"/>
      <c r="C52" s="110"/>
      <c r="D52" s="110"/>
      <c r="E52" s="110"/>
      <c r="F52" s="110"/>
      <c r="G52" s="111"/>
    </row>
  </sheetData>
  <mergeCells count="42">
    <mergeCell ref="A5:C5"/>
    <mergeCell ref="A1:B1"/>
    <mergeCell ref="C1:D1"/>
    <mergeCell ref="A2:G2"/>
    <mergeCell ref="A3:G3"/>
    <mergeCell ref="A4:C4"/>
    <mergeCell ref="A9:B9"/>
    <mergeCell ref="D9:G12"/>
    <mergeCell ref="A10:B10"/>
    <mergeCell ref="A11:B11"/>
    <mergeCell ref="A12:B12"/>
    <mergeCell ref="A6:C6"/>
    <mergeCell ref="A7:B7"/>
    <mergeCell ref="D7:G7"/>
    <mergeCell ref="A8:B8"/>
    <mergeCell ref="D8:G8"/>
    <mergeCell ref="A33:B33"/>
    <mergeCell ref="D33:G33"/>
    <mergeCell ref="A13:B13"/>
    <mergeCell ref="D13:G13"/>
    <mergeCell ref="A24:G24"/>
    <mergeCell ref="A25:G25"/>
    <mergeCell ref="A26:G26"/>
    <mergeCell ref="A27:B27"/>
    <mergeCell ref="C27:D27"/>
    <mergeCell ref="A28:G28"/>
    <mergeCell ref="A29:G29"/>
    <mergeCell ref="A30:C30"/>
    <mergeCell ref="A31:C31"/>
    <mergeCell ref="A32:C32"/>
    <mergeCell ref="A34:B34"/>
    <mergeCell ref="D34:G34"/>
    <mergeCell ref="A35:B35"/>
    <mergeCell ref="D35:G38"/>
    <mergeCell ref="A36:B36"/>
    <mergeCell ref="A37:B37"/>
    <mergeCell ref="A38:B38"/>
    <mergeCell ref="A39:B39"/>
    <mergeCell ref="D39:G39"/>
    <mergeCell ref="A50:G50"/>
    <mergeCell ref="A51:G51"/>
    <mergeCell ref="A52:G52"/>
  </mergeCells>
  <pageMargins left="0.70866141732283472" right="0.51181102362204722" top="0.51181102362204722" bottom="0.51181102362204722" header="0.3" footer="0.3"/>
  <pageSetup paperSize="9" fitToHeight="0" orientation="portrait" horizontalDpi="4294967295" verticalDpi="4294967295" r:id="rId1"/>
  <rowBreaks count="1" manualBreakCount="1">
    <brk id="26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BT32"/>
  <sheetViews>
    <sheetView topLeftCell="B1" workbookViewId="0">
      <selection activeCell="J6" sqref="J6"/>
    </sheetView>
  </sheetViews>
  <sheetFormatPr defaultColWidth="9.125" defaultRowHeight="12" x14ac:dyDescent="0.2"/>
  <cols>
    <col min="1" max="2" width="8.75" style="9" customWidth="1"/>
    <col min="3" max="3" width="16.375" style="9" customWidth="1"/>
    <col min="4" max="4" width="24.125" style="9" customWidth="1"/>
    <col min="5" max="5" width="19.875" style="58" customWidth="1"/>
    <col min="6" max="6" width="20" style="9" customWidth="1"/>
    <col min="7" max="7" width="18.875" style="60" bestFit="1" customWidth="1"/>
    <col min="8" max="8" width="57.375" style="9" bestFit="1" customWidth="1"/>
    <col min="9" max="16384" width="9.125" style="9"/>
  </cols>
  <sheetData>
    <row r="1" spans="1:72" s="10" customFormat="1" ht="23.25" customHeight="1" x14ac:dyDescent="0.2">
      <c r="E1" s="57"/>
      <c r="G1" s="59">
        <f>COUNTIFS(K3:K24,"&lt;&gt;0",K3:K24,"&lt;&gt;")</f>
        <v>0</v>
      </c>
      <c r="H1" s="59">
        <f>COUNTIFS(zbiorczy!K3:K24,"&lt;&gt;0",zbiorczy!K3:K24,"&lt;&gt;")</f>
        <v>0</v>
      </c>
    </row>
    <row r="2" spans="1:72" s="12" customFormat="1" x14ac:dyDescent="0.25">
      <c r="A2" s="12" t="s">
        <v>48</v>
      </c>
      <c r="B2" s="12" t="s">
        <v>49</v>
      </c>
      <c r="C2" s="12" t="s">
        <v>50</v>
      </c>
      <c r="D2" s="12" t="s">
        <v>51</v>
      </c>
      <c r="E2" s="12" t="s">
        <v>72</v>
      </c>
      <c r="F2" s="12" t="s">
        <v>52</v>
      </c>
      <c r="G2" s="12" t="s">
        <v>53</v>
      </c>
      <c r="H2" s="12" t="s">
        <v>54</v>
      </c>
      <c r="I2" s="12">
        <v>1001</v>
      </c>
      <c r="J2" s="12">
        <v>2001</v>
      </c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</row>
    <row r="3" spans="1:72" x14ac:dyDescent="0.2">
      <c r="A3" s="58" t="s">
        <v>109</v>
      </c>
      <c r="B3" s="58" t="s">
        <v>109</v>
      </c>
      <c r="C3" s="9" t="s">
        <v>114</v>
      </c>
      <c r="D3" s="9" t="s">
        <v>105</v>
      </c>
      <c r="E3" s="96" t="s">
        <v>106</v>
      </c>
      <c r="F3" s="9" t="s">
        <v>107</v>
      </c>
      <c r="G3" s="94" t="s">
        <v>108</v>
      </c>
      <c r="H3" s="9" t="str">
        <f>UPPER(CONCATENATE(D3,"/ ",E3,", ",F3,", ",G3))</f>
        <v>JABŁOŃ DOMOWA/ MALUS DOMESTICA, SZAMPION, M-9</v>
      </c>
      <c r="I3" s="60">
        <v>200</v>
      </c>
      <c r="J3" s="60">
        <v>500</v>
      </c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</row>
    <row r="4" spans="1:72" x14ac:dyDescent="0.2">
      <c r="A4" s="58" t="s">
        <v>109</v>
      </c>
      <c r="B4" s="58" t="s">
        <v>109</v>
      </c>
      <c r="C4" s="9" t="s">
        <v>114</v>
      </c>
      <c r="D4" s="9" t="s">
        <v>110</v>
      </c>
      <c r="E4" s="96" t="s">
        <v>111</v>
      </c>
      <c r="F4" s="9" t="s">
        <v>112</v>
      </c>
      <c r="G4" s="94" t="s">
        <v>113</v>
      </c>
      <c r="H4" s="9" t="str">
        <f t="shared" ref="H4:H32" si="0">UPPER(CONCATENATE(D4,"/ ",E4,", ",F4,", ",G4))</f>
        <v>GRUSZA DOMOWA/ PYRUS DOMESTICA, KONFERENCJA, GRUSZA KAUKASKA</v>
      </c>
      <c r="I4" s="60">
        <v>500</v>
      </c>
      <c r="J4" s="60">
        <v>5000</v>
      </c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</row>
    <row r="5" spans="1:72" x14ac:dyDescent="0.2">
      <c r="A5" s="58" t="s">
        <v>119</v>
      </c>
      <c r="B5" s="58" t="s">
        <v>109</v>
      </c>
      <c r="C5" s="9" t="s">
        <v>118</v>
      </c>
      <c r="D5" s="9" t="s">
        <v>115</v>
      </c>
      <c r="E5" s="96" t="s">
        <v>116</v>
      </c>
      <c r="F5" s="9" t="s">
        <v>117</v>
      </c>
      <c r="G5" s="94" t="s">
        <v>71</v>
      </c>
      <c r="H5" s="9" t="str">
        <f t="shared" si="0"/>
        <v>PORZECZKA CZERWONA/ RIBES RUBRUM, JONKHEER VAN TETS, -</v>
      </c>
      <c r="I5" s="60">
        <v>1500</v>
      </c>
      <c r="J5" s="60">
        <v>10000</v>
      </c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</row>
    <row r="6" spans="1:72" x14ac:dyDescent="0.2">
      <c r="A6" s="58"/>
      <c r="B6" s="58"/>
      <c r="E6" s="96"/>
      <c r="G6" s="94" t="s">
        <v>71</v>
      </c>
      <c r="H6" s="9" t="str">
        <f t="shared" si="0"/>
        <v>/ , , -</v>
      </c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</row>
    <row r="7" spans="1:72" x14ac:dyDescent="0.2">
      <c r="A7" s="58"/>
      <c r="B7" s="58"/>
      <c r="E7" s="96"/>
      <c r="G7" s="94" t="s">
        <v>71</v>
      </c>
      <c r="H7" s="9" t="str">
        <f t="shared" si="0"/>
        <v>/ , , -</v>
      </c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</row>
    <row r="8" spans="1:72" x14ac:dyDescent="0.2">
      <c r="A8" s="58"/>
      <c r="B8" s="58"/>
      <c r="E8" s="96"/>
      <c r="G8" s="94" t="s">
        <v>71</v>
      </c>
      <c r="H8" s="9" t="str">
        <f t="shared" si="0"/>
        <v>/ , , -</v>
      </c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</row>
    <row r="9" spans="1:72" x14ac:dyDescent="0.2">
      <c r="A9" s="58"/>
      <c r="B9" s="58"/>
      <c r="E9" s="96"/>
      <c r="G9" s="94" t="s">
        <v>71</v>
      </c>
      <c r="H9" s="9" t="str">
        <f t="shared" si="0"/>
        <v>/ , , -</v>
      </c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</row>
    <row r="10" spans="1:72" x14ac:dyDescent="0.2">
      <c r="A10" s="58"/>
      <c r="B10" s="58"/>
      <c r="E10" s="96"/>
      <c r="G10" s="94" t="s">
        <v>71</v>
      </c>
      <c r="H10" s="9" t="str">
        <f t="shared" si="0"/>
        <v>/ , , -</v>
      </c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</row>
    <row r="11" spans="1:72" x14ac:dyDescent="0.2">
      <c r="A11" s="58"/>
      <c r="B11" s="58"/>
      <c r="E11" s="96"/>
      <c r="G11" s="94" t="s">
        <v>71</v>
      </c>
      <c r="H11" s="9" t="str">
        <f t="shared" si="0"/>
        <v>/ , , -</v>
      </c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</row>
    <row r="12" spans="1:72" x14ac:dyDescent="0.2">
      <c r="A12" s="58"/>
      <c r="B12" s="58"/>
      <c r="E12" s="96"/>
      <c r="G12" s="94" t="s">
        <v>71</v>
      </c>
      <c r="H12" s="9" t="str">
        <f t="shared" si="0"/>
        <v>/ , , -</v>
      </c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</row>
    <row r="13" spans="1:72" x14ac:dyDescent="0.2">
      <c r="A13" s="58"/>
      <c r="B13" s="58"/>
      <c r="E13" s="96"/>
      <c r="G13" s="94" t="s">
        <v>71</v>
      </c>
      <c r="H13" s="9" t="str">
        <f t="shared" si="0"/>
        <v>/ , , -</v>
      </c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</row>
    <row r="14" spans="1:72" x14ac:dyDescent="0.2">
      <c r="A14" s="58"/>
      <c r="B14" s="58"/>
      <c r="E14" s="96"/>
      <c r="G14" s="94" t="s">
        <v>71</v>
      </c>
      <c r="H14" s="9" t="str">
        <f t="shared" si="0"/>
        <v>/ , , -</v>
      </c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</row>
    <row r="15" spans="1:72" x14ac:dyDescent="0.2">
      <c r="A15" s="58"/>
      <c r="B15" s="58"/>
      <c r="E15" s="96"/>
      <c r="G15" s="94"/>
      <c r="H15" s="9" t="str">
        <f t="shared" si="0"/>
        <v xml:space="preserve">/ , , </v>
      </c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</row>
    <row r="16" spans="1:72" x14ac:dyDescent="0.2">
      <c r="A16" s="58"/>
      <c r="B16" s="58"/>
      <c r="E16" s="96"/>
      <c r="G16" s="94"/>
      <c r="H16" s="9" t="str">
        <f t="shared" si="0"/>
        <v xml:space="preserve">/ , , </v>
      </c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</row>
    <row r="17" spans="1:72" x14ac:dyDescent="0.2">
      <c r="A17" s="58"/>
      <c r="B17" s="58"/>
      <c r="E17" s="96"/>
      <c r="G17" s="94"/>
      <c r="H17" s="9" t="str">
        <f t="shared" si="0"/>
        <v xml:space="preserve">/ , , </v>
      </c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</row>
    <row r="18" spans="1:72" x14ac:dyDescent="0.2">
      <c r="A18" s="58"/>
      <c r="B18" s="58"/>
      <c r="E18" s="96"/>
      <c r="G18" s="94"/>
      <c r="H18" s="9" t="str">
        <f t="shared" si="0"/>
        <v xml:space="preserve">/ , , </v>
      </c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</row>
    <row r="19" spans="1:72" x14ac:dyDescent="0.2">
      <c r="A19" s="58"/>
      <c r="B19" s="58"/>
      <c r="E19" s="96"/>
      <c r="G19" s="94"/>
      <c r="H19" s="9" t="str">
        <f t="shared" si="0"/>
        <v xml:space="preserve">/ , , </v>
      </c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</row>
    <row r="20" spans="1:72" x14ac:dyDescent="0.2">
      <c r="A20" s="58"/>
      <c r="B20" s="58"/>
      <c r="E20" s="96"/>
      <c r="G20" s="94"/>
      <c r="H20" s="9" t="str">
        <f t="shared" si="0"/>
        <v xml:space="preserve">/ , , </v>
      </c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</row>
    <row r="21" spans="1:72" x14ac:dyDescent="0.2">
      <c r="A21" s="58"/>
      <c r="B21" s="58"/>
      <c r="E21" s="96"/>
      <c r="G21" s="94"/>
      <c r="H21" s="9" t="str">
        <f t="shared" si="0"/>
        <v xml:space="preserve">/ , , </v>
      </c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</row>
    <row r="22" spans="1:72" x14ac:dyDescent="0.2">
      <c r="A22" s="58"/>
      <c r="B22" s="58"/>
      <c r="E22" s="96"/>
      <c r="G22" s="94"/>
      <c r="H22" s="9" t="str">
        <f t="shared" si="0"/>
        <v xml:space="preserve">/ , , </v>
      </c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</row>
    <row r="23" spans="1:72" x14ac:dyDescent="0.2">
      <c r="A23" s="58"/>
      <c r="B23" s="58"/>
      <c r="E23" s="96"/>
      <c r="G23" s="94"/>
      <c r="H23" s="9" t="str">
        <f t="shared" si="0"/>
        <v xml:space="preserve">/ , , </v>
      </c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</row>
    <row r="24" spans="1:72" x14ac:dyDescent="0.2">
      <c r="A24" s="58"/>
      <c r="B24" s="58"/>
      <c r="E24" s="96"/>
      <c r="G24" s="94"/>
      <c r="H24" s="9" t="str">
        <f t="shared" si="0"/>
        <v xml:space="preserve">/ , , </v>
      </c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</row>
    <row r="25" spans="1:72" x14ac:dyDescent="0.2">
      <c r="A25" s="58"/>
      <c r="B25" s="58"/>
      <c r="E25" s="76"/>
      <c r="G25" s="95"/>
      <c r="H25" s="9" t="str">
        <f t="shared" si="0"/>
        <v xml:space="preserve">/ , , </v>
      </c>
    </row>
    <row r="26" spans="1:72" x14ac:dyDescent="0.2">
      <c r="A26" s="58"/>
      <c r="B26" s="58"/>
      <c r="E26" s="76"/>
      <c r="G26" s="95"/>
      <c r="H26" s="9" t="str">
        <f t="shared" si="0"/>
        <v xml:space="preserve">/ , , </v>
      </c>
    </row>
    <row r="27" spans="1:72" x14ac:dyDescent="0.2">
      <c r="A27" s="58"/>
      <c r="B27" s="58"/>
      <c r="E27" s="76"/>
      <c r="G27" s="95"/>
      <c r="H27" s="9" t="str">
        <f t="shared" si="0"/>
        <v xml:space="preserve">/ , , </v>
      </c>
    </row>
    <row r="28" spans="1:72" x14ac:dyDescent="0.2">
      <c r="A28" s="58"/>
      <c r="B28" s="58"/>
      <c r="E28" s="76"/>
      <c r="G28" s="95"/>
      <c r="H28" s="9" t="str">
        <f t="shared" si="0"/>
        <v xml:space="preserve">/ , , </v>
      </c>
    </row>
    <row r="29" spans="1:72" x14ac:dyDescent="0.2">
      <c r="A29" s="58"/>
      <c r="B29" s="58"/>
      <c r="E29" s="76"/>
      <c r="G29" s="95"/>
      <c r="H29" s="9" t="str">
        <f t="shared" si="0"/>
        <v xml:space="preserve">/ , , </v>
      </c>
    </row>
    <row r="30" spans="1:72" x14ac:dyDescent="0.2">
      <c r="A30" s="58"/>
      <c r="B30" s="58"/>
      <c r="E30" s="76"/>
      <c r="G30" s="95"/>
      <c r="H30" s="9" t="str">
        <f t="shared" si="0"/>
        <v xml:space="preserve">/ , , </v>
      </c>
    </row>
    <row r="31" spans="1:72" x14ac:dyDescent="0.2">
      <c r="A31" s="58"/>
      <c r="B31" s="58"/>
      <c r="E31" s="76"/>
      <c r="G31" s="95"/>
      <c r="H31" s="9" t="str">
        <f t="shared" si="0"/>
        <v xml:space="preserve">/ , , </v>
      </c>
    </row>
    <row r="32" spans="1:72" x14ac:dyDescent="0.2">
      <c r="A32" s="58"/>
      <c r="B32" s="58"/>
      <c r="E32" s="76"/>
      <c r="G32" s="95"/>
      <c r="H32" s="9" t="str">
        <f t="shared" si="0"/>
        <v xml:space="preserve">/ , , </v>
      </c>
    </row>
  </sheetData>
  <pageMargins left="0.7" right="0.7" top="0.75" bottom="0.75" header="0.3" footer="0.3"/>
  <pageSetup paperSize="9" orientation="portrait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L59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ColWidth="9.125" defaultRowHeight="12" x14ac:dyDescent="0.2"/>
  <cols>
    <col min="1" max="1" width="23.125" style="7" bestFit="1" customWidth="1"/>
    <col min="2" max="2" width="10.75" style="7" customWidth="1"/>
    <col min="3" max="3" width="36.25" style="7" bestFit="1" customWidth="1"/>
    <col min="4" max="4" width="21.75" style="7" customWidth="1"/>
    <col min="5" max="5" width="9.25" style="7" customWidth="1"/>
    <col min="6" max="6" width="19.25" style="7" customWidth="1"/>
    <col min="7" max="7" width="14" style="7" bestFit="1" customWidth="1"/>
    <col min="8" max="8" width="45.75" style="63" customWidth="1"/>
    <col min="9" max="9" width="17.75" style="7" bestFit="1" customWidth="1"/>
    <col min="10" max="10" width="16.25" style="7" customWidth="1"/>
    <col min="11" max="11" width="9.875" style="7" bestFit="1" customWidth="1"/>
    <col min="12" max="16384" width="9.125" style="7"/>
  </cols>
  <sheetData>
    <row r="1" spans="1:12" s="12" customFormat="1" x14ac:dyDescent="0.2">
      <c r="A1" s="12" t="s">
        <v>42</v>
      </c>
      <c r="B1" s="12" t="s">
        <v>45</v>
      </c>
      <c r="C1" s="12" t="s">
        <v>46</v>
      </c>
      <c r="D1" s="12" t="s">
        <v>58</v>
      </c>
      <c r="E1" s="12" t="s">
        <v>73</v>
      </c>
      <c r="F1" s="12" t="s">
        <v>59</v>
      </c>
      <c r="G1" s="12" t="s">
        <v>60</v>
      </c>
      <c r="H1" s="61" t="s">
        <v>47</v>
      </c>
      <c r="J1" s="75" t="s">
        <v>77</v>
      </c>
      <c r="K1" s="7"/>
      <c r="L1" s="7"/>
    </row>
    <row r="2" spans="1:12" ht="48" x14ac:dyDescent="0.2">
      <c r="A2" s="7" t="s">
        <v>99</v>
      </c>
      <c r="B2" s="62">
        <v>1001</v>
      </c>
      <c r="C2" s="7" t="s">
        <v>100</v>
      </c>
      <c r="D2" s="63" t="s">
        <v>101</v>
      </c>
      <c r="E2" s="7" t="s">
        <v>102</v>
      </c>
      <c r="F2" s="7" t="s">
        <v>74</v>
      </c>
      <c r="G2" s="7" t="s">
        <v>75</v>
      </c>
      <c r="H2" s="64" t="str">
        <f>CONCATENATE(C2,CHAR(10),D2,CHAR(10),E2," ",F2,CHAR(10),G2)</f>
        <v>SKLEP NR 1
Popularna 1
00-000 Warszawa
POLSKA</v>
      </c>
      <c r="J2" s="76" t="s">
        <v>99</v>
      </c>
    </row>
    <row r="3" spans="1:12" ht="48" x14ac:dyDescent="0.2">
      <c r="A3" s="7" t="s">
        <v>125</v>
      </c>
      <c r="B3" s="62">
        <v>2001</v>
      </c>
      <c r="C3" s="7" t="s">
        <v>126</v>
      </c>
      <c r="D3" s="63" t="s">
        <v>127</v>
      </c>
      <c r="E3" s="7" t="s">
        <v>102</v>
      </c>
      <c r="F3" s="7" t="s">
        <v>76</v>
      </c>
      <c r="G3" s="7" t="s">
        <v>75</v>
      </c>
      <c r="H3" s="64" t="str">
        <f t="shared" ref="H3:H67" si="0">CONCATENATE(C3,CHAR(10),D3,CHAR(10),E3," ",F3,CHAR(10),G3)</f>
        <v>DC 1
Klubowa 2
00-000 Kraków
POLSKA</v>
      </c>
      <c r="J3" s="76" t="s">
        <v>125</v>
      </c>
    </row>
    <row r="4" spans="1:12" ht="36.75" x14ac:dyDescent="0.25">
      <c r="B4" s="62"/>
      <c r="D4" s="63"/>
      <c r="H4" s="64" t="str">
        <f t="shared" si="0"/>
        <v xml:space="preserve">
</v>
      </c>
      <c r="J4"/>
    </row>
    <row r="5" spans="1:12" ht="36.75" x14ac:dyDescent="0.25">
      <c r="B5" s="62"/>
      <c r="D5" s="63"/>
      <c r="H5" s="64" t="str">
        <f t="shared" si="0"/>
        <v xml:space="preserve">
</v>
      </c>
      <c r="J5"/>
    </row>
    <row r="6" spans="1:12" ht="36.75" x14ac:dyDescent="0.25">
      <c r="B6" s="62"/>
      <c r="D6" s="63"/>
      <c r="H6" s="64" t="str">
        <f t="shared" si="0"/>
        <v xml:space="preserve">
</v>
      </c>
      <c r="J6"/>
    </row>
    <row r="7" spans="1:12" ht="36.75" x14ac:dyDescent="0.25">
      <c r="B7" s="62"/>
      <c r="D7" s="63"/>
      <c r="H7" s="64" t="str">
        <f t="shared" si="0"/>
        <v xml:space="preserve">
</v>
      </c>
      <c r="J7"/>
    </row>
    <row r="8" spans="1:12" ht="36.75" x14ac:dyDescent="0.25">
      <c r="B8" s="62"/>
      <c r="D8" s="63"/>
      <c r="H8" s="64" t="str">
        <f t="shared" si="0"/>
        <v xml:space="preserve">
</v>
      </c>
      <c r="J8"/>
    </row>
    <row r="9" spans="1:12" ht="36.75" x14ac:dyDescent="0.25">
      <c r="B9" s="62"/>
      <c r="D9" s="63"/>
      <c r="H9" s="64" t="str">
        <f t="shared" si="0"/>
        <v xml:space="preserve">
</v>
      </c>
      <c r="J9"/>
    </row>
    <row r="10" spans="1:12" ht="36.75" x14ac:dyDescent="0.25">
      <c r="B10" s="62"/>
      <c r="D10" s="63"/>
      <c r="H10" s="64" t="str">
        <f t="shared" si="0"/>
        <v xml:space="preserve">
</v>
      </c>
      <c r="J10"/>
    </row>
    <row r="11" spans="1:12" ht="36.75" x14ac:dyDescent="0.25">
      <c r="B11" s="62"/>
      <c r="D11" s="63"/>
      <c r="H11" s="64" t="str">
        <f t="shared" si="0"/>
        <v xml:space="preserve">
</v>
      </c>
      <c r="J11"/>
    </row>
    <row r="12" spans="1:12" ht="36.75" x14ac:dyDescent="0.25">
      <c r="B12" s="62"/>
      <c r="D12" s="63"/>
      <c r="H12" s="64" t="str">
        <f t="shared" si="0"/>
        <v xml:space="preserve">
</v>
      </c>
      <c r="J12"/>
    </row>
    <row r="13" spans="1:12" ht="36.75" x14ac:dyDescent="0.25">
      <c r="B13" s="62"/>
      <c r="D13" s="63"/>
      <c r="H13" s="64" t="str">
        <f t="shared" si="0"/>
        <v xml:space="preserve">
</v>
      </c>
      <c r="J13"/>
    </row>
    <row r="14" spans="1:12" ht="36" x14ac:dyDescent="0.2">
      <c r="B14" s="62"/>
      <c r="D14" s="63"/>
      <c r="H14" s="64" t="str">
        <f t="shared" si="0"/>
        <v xml:space="preserve">
</v>
      </c>
    </row>
    <row r="15" spans="1:12" ht="36" x14ac:dyDescent="0.2">
      <c r="B15" s="62"/>
      <c r="D15" s="63"/>
      <c r="H15" s="64" t="str">
        <f t="shared" si="0"/>
        <v xml:space="preserve">
</v>
      </c>
    </row>
    <row r="16" spans="1:12" ht="36" x14ac:dyDescent="0.2">
      <c r="B16" s="62"/>
      <c r="D16" s="63"/>
      <c r="H16" s="64" t="str">
        <f t="shared" si="0"/>
        <v xml:space="preserve">
</v>
      </c>
    </row>
    <row r="17" spans="2:8" ht="36" x14ac:dyDescent="0.2">
      <c r="B17" s="62"/>
      <c r="D17" s="63"/>
      <c r="H17" s="64" t="str">
        <f t="shared" si="0"/>
        <v xml:space="preserve">
</v>
      </c>
    </row>
    <row r="18" spans="2:8" ht="36" x14ac:dyDescent="0.2">
      <c r="B18" s="62"/>
      <c r="D18" s="63"/>
      <c r="H18" s="64" t="str">
        <f t="shared" si="0"/>
        <v xml:space="preserve">
</v>
      </c>
    </row>
    <row r="19" spans="2:8" ht="36" x14ac:dyDescent="0.2">
      <c r="B19" s="62"/>
      <c r="D19" s="63"/>
      <c r="H19" s="64" t="str">
        <f t="shared" si="0"/>
        <v xml:space="preserve">
</v>
      </c>
    </row>
    <row r="20" spans="2:8" ht="36" x14ac:dyDescent="0.2">
      <c r="B20" s="62"/>
      <c r="D20" s="63"/>
      <c r="H20" s="64" t="str">
        <f t="shared" si="0"/>
        <v xml:space="preserve">
</v>
      </c>
    </row>
    <row r="21" spans="2:8" ht="36" x14ac:dyDescent="0.2">
      <c r="B21" s="62"/>
      <c r="D21" s="63"/>
      <c r="H21" s="64" t="str">
        <f t="shared" si="0"/>
        <v xml:space="preserve">
</v>
      </c>
    </row>
    <row r="22" spans="2:8" ht="36" x14ac:dyDescent="0.2">
      <c r="B22" s="62"/>
      <c r="D22" s="63"/>
      <c r="H22" s="64" t="str">
        <f t="shared" si="0"/>
        <v xml:space="preserve">
</v>
      </c>
    </row>
    <row r="23" spans="2:8" ht="36" x14ac:dyDescent="0.2">
      <c r="B23" s="62"/>
      <c r="D23" s="63"/>
      <c r="H23" s="64" t="str">
        <f t="shared" si="0"/>
        <v xml:space="preserve">
</v>
      </c>
    </row>
    <row r="24" spans="2:8" ht="36" x14ac:dyDescent="0.2">
      <c r="B24" s="62"/>
      <c r="D24" s="63"/>
      <c r="H24" s="64" t="str">
        <f t="shared" si="0"/>
        <v xml:space="preserve">
</v>
      </c>
    </row>
    <row r="25" spans="2:8" ht="36" x14ac:dyDescent="0.2">
      <c r="B25" s="62"/>
      <c r="D25" s="63"/>
      <c r="H25" s="64" t="str">
        <f t="shared" si="0"/>
        <v xml:space="preserve">
</v>
      </c>
    </row>
    <row r="26" spans="2:8" ht="36" x14ac:dyDescent="0.2">
      <c r="B26" s="62"/>
      <c r="D26" s="63"/>
      <c r="H26" s="64" t="str">
        <f t="shared" si="0"/>
        <v xml:space="preserve">
</v>
      </c>
    </row>
    <row r="27" spans="2:8" ht="36" x14ac:dyDescent="0.2">
      <c r="B27" s="62"/>
      <c r="D27" s="63"/>
      <c r="H27" s="64" t="str">
        <f t="shared" si="0"/>
        <v xml:space="preserve">
</v>
      </c>
    </row>
    <row r="28" spans="2:8" ht="36" x14ac:dyDescent="0.2">
      <c r="B28" s="62"/>
      <c r="D28" s="63"/>
      <c r="H28" s="64" t="str">
        <f t="shared" si="0"/>
        <v xml:space="preserve">
</v>
      </c>
    </row>
    <row r="29" spans="2:8" ht="36" x14ac:dyDescent="0.2">
      <c r="B29" s="62"/>
      <c r="D29" s="63"/>
      <c r="H29" s="64" t="str">
        <f t="shared" si="0"/>
        <v xml:space="preserve">
</v>
      </c>
    </row>
    <row r="30" spans="2:8" ht="36" x14ac:dyDescent="0.2">
      <c r="B30" s="62"/>
      <c r="D30" s="63"/>
      <c r="H30" s="64" t="str">
        <f t="shared" si="0"/>
        <v xml:space="preserve">
</v>
      </c>
    </row>
    <row r="31" spans="2:8" ht="36" x14ac:dyDescent="0.2">
      <c r="B31" s="62"/>
      <c r="D31" s="63"/>
      <c r="H31" s="64" t="str">
        <f t="shared" si="0"/>
        <v xml:space="preserve">
</v>
      </c>
    </row>
    <row r="32" spans="2:8" ht="36" x14ac:dyDescent="0.2">
      <c r="B32" s="62"/>
      <c r="D32" s="63"/>
      <c r="H32" s="64" t="str">
        <f t="shared" si="0"/>
        <v xml:space="preserve">
</v>
      </c>
    </row>
    <row r="33" spans="2:8" ht="36" x14ac:dyDescent="0.2">
      <c r="B33" s="62"/>
      <c r="D33" s="63"/>
      <c r="H33" s="64" t="str">
        <f t="shared" si="0"/>
        <v xml:space="preserve">
</v>
      </c>
    </row>
    <row r="34" spans="2:8" ht="36" x14ac:dyDescent="0.2">
      <c r="B34" s="62"/>
      <c r="D34" s="63"/>
      <c r="H34" s="64" t="str">
        <f t="shared" si="0"/>
        <v xml:space="preserve">
</v>
      </c>
    </row>
    <row r="35" spans="2:8" ht="36" x14ac:dyDescent="0.2">
      <c r="B35" s="62"/>
      <c r="D35" s="63"/>
      <c r="H35" s="64" t="str">
        <f t="shared" si="0"/>
        <v xml:space="preserve">
</v>
      </c>
    </row>
    <row r="36" spans="2:8" ht="36" x14ac:dyDescent="0.2">
      <c r="B36" s="62"/>
      <c r="D36" s="63"/>
      <c r="H36" s="64" t="str">
        <f t="shared" si="0"/>
        <v xml:space="preserve">
</v>
      </c>
    </row>
    <row r="37" spans="2:8" ht="36" x14ac:dyDescent="0.2">
      <c r="B37" s="62"/>
      <c r="D37" s="63"/>
      <c r="H37" s="64" t="str">
        <f t="shared" si="0"/>
        <v xml:space="preserve">
</v>
      </c>
    </row>
    <row r="38" spans="2:8" ht="36" x14ac:dyDescent="0.2">
      <c r="B38" s="62"/>
      <c r="D38" s="63"/>
      <c r="H38" s="64" t="str">
        <f t="shared" si="0"/>
        <v xml:space="preserve">
</v>
      </c>
    </row>
    <row r="39" spans="2:8" ht="36" x14ac:dyDescent="0.2">
      <c r="B39" s="62"/>
      <c r="D39" s="63"/>
      <c r="H39" s="64" t="str">
        <f t="shared" si="0"/>
        <v xml:space="preserve">
</v>
      </c>
    </row>
    <row r="40" spans="2:8" ht="36" x14ac:dyDescent="0.2">
      <c r="B40" s="62"/>
      <c r="D40" s="63"/>
      <c r="H40" s="64" t="str">
        <f t="shared" si="0"/>
        <v xml:space="preserve">
</v>
      </c>
    </row>
    <row r="41" spans="2:8" ht="36" x14ac:dyDescent="0.2">
      <c r="B41" s="62"/>
      <c r="D41" s="63"/>
      <c r="H41" s="64" t="str">
        <f t="shared" si="0"/>
        <v xml:space="preserve">
</v>
      </c>
    </row>
    <row r="42" spans="2:8" ht="36" x14ac:dyDescent="0.2">
      <c r="B42" s="62"/>
      <c r="D42" s="63"/>
      <c r="H42" s="64" t="str">
        <f t="shared" si="0"/>
        <v xml:space="preserve">
</v>
      </c>
    </row>
    <row r="43" spans="2:8" ht="36" x14ac:dyDescent="0.2">
      <c r="B43" s="62"/>
      <c r="D43" s="63"/>
      <c r="H43" s="64" t="str">
        <f t="shared" si="0"/>
        <v xml:space="preserve">
</v>
      </c>
    </row>
    <row r="44" spans="2:8" ht="36" x14ac:dyDescent="0.2">
      <c r="B44" s="62"/>
      <c r="D44" s="63"/>
      <c r="H44" s="64" t="str">
        <f t="shared" si="0"/>
        <v xml:space="preserve">
</v>
      </c>
    </row>
    <row r="45" spans="2:8" ht="36" x14ac:dyDescent="0.2">
      <c r="B45" s="62"/>
      <c r="D45" s="63"/>
      <c r="H45" s="64" t="str">
        <f t="shared" si="0"/>
        <v xml:space="preserve">
</v>
      </c>
    </row>
    <row r="46" spans="2:8" ht="36" x14ac:dyDescent="0.2">
      <c r="B46" s="62"/>
      <c r="D46" s="63"/>
      <c r="H46" s="64" t="str">
        <f t="shared" si="0"/>
        <v xml:space="preserve">
</v>
      </c>
    </row>
    <row r="47" spans="2:8" ht="36" x14ac:dyDescent="0.2">
      <c r="B47" s="62"/>
      <c r="C47" s="63"/>
      <c r="D47" s="63"/>
      <c r="H47" s="64" t="str">
        <f t="shared" si="0"/>
        <v xml:space="preserve">
</v>
      </c>
    </row>
    <row r="48" spans="2:8" ht="36" x14ac:dyDescent="0.2">
      <c r="B48" s="62"/>
      <c r="D48" s="63"/>
      <c r="H48" s="64" t="str">
        <f t="shared" si="0"/>
        <v xml:space="preserve">
</v>
      </c>
    </row>
    <row r="49" spans="2:8" ht="36" x14ac:dyDescent="0.2">
      <c r="B49" s="62"/>
      <c r="D49" s="63"/>
      <c r="H49" s="64" t="str">
        <f t="shared" si="0"/>
        <v xml:space="preserve">
</v>
      </c>
    </row>
    <row r="50" spans="2:8" ht="36" x14ac:dyDescent="0.2">
      <c r="B50" s="62"/>
      <c r="D50" s="63"/>
      <c r="H50" s="64" t="str">
        <f t="shared" si="0"/>
        <v xml:space="preserve">
</v>
      </c>
    </row>
    <row r="51" spans="2:8" ht="36" x14ac:dyDescent="0.2">
      <c r="B51" s="62"/>
      <c r="D51" s="63"/>
      <c r="H51" s="64" t="str">
        <f t="shared" si="0"/>
        <v xml:space="preserve">
</v>
      </c>
    </row>
    <row r="52" spans="2:8" ht="36" x14ac:dyDescent="0.2">
      <c r="B52" s="62"/>
      <c r="D52" s="63"/>
      <c r="H52" s="64" t="str">
        <f t="shared" si="0"/>
        <v xml:space="preserve">
</v>
      </c>
    </row>
    <row r="53" spans="2:8" ht="36" x14ac:dyDescent="0.2">
      <c r="B53" s="62"/>
      <c r="D53" s="63"/>
      <c r="H53" s="64" t="str">
        <f t="shared" si="0"/>
        <v xml:space="preserve">
</v>
      </c>
    </row>
    <row r="54" spans="2:8" ht="36" x14ac:dyDescent="0.2">
      <c r="B54" s="62"/>
      <c r="D54" s="63"/>
      <c r="H54" s="64" t="str">
        <f t="shared" si="0"/>
        <v xml:space="preserve">
</v>
      </c>
    </row>
    <row r="55" spans="2:8" ht="36" x14ac:dyDescent="0.2">
      <c r="B55" s="62"/>
      <c r="D55" s="63"/>
      <c r="H55" s="64" t="str">
        <f t="shared" si="0"/>
        <v xml:space="preserve">
</v>
      </c>
    </row>
    <row r="56" spans="2:8" ht="36" x14ac:dyDescent="0.2">
      <c r="B56" s="62"/>
      <c r="D56" s="63"/>
      <c r="H56" s="64" t="str">
        <f t="shared" si="0"/>
        <v xml:space="preserve">
</v>
      </c>
    </row>
    <row r="57" spans="2:8" ht="36" x14ac:dyDescent="0.2">
      <c r="B57" s="62"/>
      <c r="D57" s="63"/>
      <c r="H57" s="64" t="str">
        <f t="shared" si="0"/>
        <v xml:space="preserve">
</v>
      </c>
    </row>
    <row r="58" spans="2:8" ht="36" x14ac:dyDescent="0.2">
      <c r="B58" s="62"/>
      <c r="D58" s="63"/>
      <c r="H58" s="64" t="str">
        <f t="shared" si="0"/>
        <v xml:space="preserve">
</v>
      </c>
    </row>
    <row r="59" spans="2:8" ht="36" x14ac:dyDescent="0.2">
      <c r="B59" s="62"/>
      <c r="D59" s="63"/>
      <c r="H59" s="64" t="str">
        <f t="shared" si="0"/>
        <v xml:space="preserve">
</v>
      </c>
    </row>
    <row r="60" spans="2:8" ht="36" x14ac:dyDescent="0.2">
      <c r="B60" s="62"/>
      <c r="D60" s="63"/>
      <c r="H60" s="64" t="str">
        <f t="shared" si="0"/>
        <v xml:space="preserve">
</v>
      </c>
    </row>
    <row r="61" spans="2:8" ht="36" x14ac:dyDescent="0.2">
      <c r="B61" s="62"/>
      <c r="D61" s="63"/>
      <c r="H61" s="64" t="str">
        <f t="shared" si="0"/>
        <v xml:space="preserve">
</v>
      </c>
    </row>
    <row r="62" spans="2:8" ht="36" x14ac:dyDescent="0.2">
      <c r="B62" s="62"/>
      <c r="D62" s="63"/>
      <c r="H62" s="64" t="str">
        <f t="shared" si="0"/>
        <v xml:space="preserve">
</v>
      </c>
    </row>
    <row r="63" spans="2:8" ht="36" x14ac:dyDescent="0.2">
      <c r="B63" s="62"/>
      <c r="D63" s="63"/>
      <c r="H63" s="64" t="str">
        <f t="shared" si="0"/>
        <v xml:space="preserve">
</v>
      </c>
    </row>
    <row r="64" spans="2:8" ht="36" x14ac:dyDescent="0.2">
      <c r="B64" s="62"/>
      <c r="D64" s="63"/>
      <c r="H64" s="64" t="str">
        <f t="shared" si="0"/>
        <v xml:space="preserve">
</v>
      </c>
    </row>
    <row r="65" spans="1:10" ht="36" x14ac:dyDescent="0.2">
      <c r="B65" s="62"/>
      <c r="D65" s="63"/>
      <c r="H65" s="64" t="str">
        <f t="shared" si="0"/>
        <v xml:space="preserve">
</v>
      </c>
    </row>
    <row r="66" spans="1:10" ht="36" x14ac:dyDescent="0.2">
      <c r="B66" s="62"/>
      <c r="D66" s="63"/>
      <c r="H66" s="64" t="str">
        <f t="shared" si="0"/>
        <v xml:space="preserve">
</v>
      </c>
    </row>
    <row r="67" spans="1:10" ht="36" x14ac:dyDescent="0.2">
      <c r="B67" s="62"/>
      <c r="D67" s="63"/>
      <c r="H67" s="64" t="str">
        <f t="shared" si="0"/>
        <v xml:space="preserve">
</v>
      </c>
    </row>
    <row r="68" spans="1:10" ht="36" x14ac:dyDescent="0.2">
      <c r="B68" s="62"/>
      <c r="D68" s="63"/>
      <c r="H68" s="64" t="str">
        <f t="shared" ref="H68:H88" si="1">CONCATENATE(C68,CHAR(10),D68,CHAR(10),E68," ",F68,CHAR(10),G68)</f>
        <v xml:space="preserve">
</v>
      </c>
    </row>
    <row r="69" spans="1:10" ht="36" x14ac:dyDescent="0.2">
      <c r="B69" s="62"/>
      <c r="D69" s="63"/>
      <c r="H69" s="64" t="str">
        <f t="shared" si="1"/>
        <v xml:space="preserve">
</v>
      </c>
    </row>
    <row r="70" spans="1:10" ht="36" x14ac:dyDescent="0.2">
      <c r="B70" s="62"/>
      <c r="D70" s="63"/>
      <c r="H70" s="64" t="str">
        <f t="shared" si="1"/>
        <v xml:space="preserve">
</v>
      </c>
    </row>
    <row r="71" spans="1:10" ht="36" x14ac:dyDescent="0.2">
      <c r="A71" s="63"/>
      <c r="B71" s="74"/>
      <c r="H71" s="64" t="str">
        <f t="shared" si="1"/>
        <v xml:space="preserve">
</v>
      </c>
      <c r="J71" s="78"/>
    </row>
    <row r="72" spans="1:10" ht="36" x14ac:dyDescent="0.2">
      <c r="A72" s="63"/>
      <c r="B72" s="74"/>
      <c r="H72" s="64" t="str">
        <f t="shared" si="1"/>
        <v xml:space="preserve">
</v>
      </c>
      <c r="J72" s="78"/>
    </row>
    <row r="73" spans="1:10" ht="36" x14ac:dyDescent="0.2">
      <c r="A73" s="63"/>
      <c r="B73" s="74"/>
      <c r="H73" s="64" t="str">
        <f t="shared" si="1"/>
        <v xml:space="preserve">
</v>
      </c>
      <c r="J73" s="78"/>
    </row>
    <row r="74" spans="1:10" ht="36" x14ac:dyDescent="0.2">
      <c r="A74" s="63"/>
      <c r="B74" s="74"/>
      <c r="H74" s="64" t="str">
        <f t="shared" si="1"/>
        <v xml:space="preserve">
</v>
      </c>
      <c r="J74" s="78"/>
    </row>
    <row r="75" spans="1:10" ht="36" x14ac:dyDescent="0.2">
      <c r="A75" s="63"/>
      <c r="B75" s="74"/>
      <c r="H75" s="64" t="str">
        <f t="shared" si="1"/>
        <v xml:space="preserve">
</v>
      </c>
      <c r="J75" s="78"/>
    </row>
    <row r="76" spans="1:10" ht="36" x14ac:dyDescent="0.2">
      <c r="A76" s="63"/>
      <c r="B76" s="74"/>
      <c r="H76" s="64" t="str">
        <f t="shared" si="1"/>
        <v xml:space="preserve">
</v>
      </c>
      <c r="J76" s="78"/>
    </row>
    <row r="77" spans="1:10" ht="36" x14ac:dyDescent="0.2">
      <c r="A77" s="63"/>
      <c r="B77" s="74"/>
      <c r="H77" s="64" t="str">
        <f t="shared" si="1"/>
        <v xml:space="preserve">
</v>
      </c>
      <c r="J77" s="78"/>
    </row>
    <row r="78" spans="1:10" ht="36" x14ac:dyDescent="0.2">
      <c r="A78" s="63"/>
      <c r="B78" s="74"/>
      <c r="H78" s="64" t="str">
        <f t="shared" si="1"/>
        <v xml:space="preserve">
</v>
      </c>
      <c r="J78" s="78"/>
    </row>
    <row r="79" spans="1:10" ht="36" x14ac:dyDescent="0.2">
      <c r="A79" s="63"/>
      <c r="B79" s="74"/>
      <c r="H79" s="64" t="str">
        <f t="shared" si="1"/>
        <v xml:space="preserve">
</v>
      </c>
      <c r="J79" s="78"/>
    </row>
    <row r="80" spans="1:10" ht="36" x14ac:dyDescent="0.2">
      <c r="A80" s="63"/>
      <c r="B80" s="74"/>
      <c r="H80" s="64" t="str">
        <f t="shared" si="1"/>
        <v xml:space="preserve">
</v>
      </c>
      <c r="J80" s="78"/>
    </row>
    <row r="81" spans="1:10" ht="36" x14ac:dyDescent="0.2">
      <c r="A81" s="63"/>
      <c r="B81" s="74"/>
      <c r="H81" s="64" t="str">
        <f t="shared" si="1"/>
        <v xml:space="preserve">
</v>
      </c>
      <c r="J81" s="78"/>
    </row>
    <row r="82" spans="1:10" ht="36" x14ac:dyDescent="0.2">
      <c r="A82" s="63"/>
      <c r="B82" s="74"/>
      <c r="H82" s="64" t="str">
        <f t="shared" si="1"/>
        <v xml:space="preserve">
</v>
      </c>
      <c r="J82" s="78"/>
    </row>
    <row r="83" spans="1:10" ht="36" x14ac:dyDescent="0.2">
      <c r="A83" s="63"/>
      <c r="B83" s="74"/>
      <c r="H83" s="64" t="str">
        <f t="shared" si="1"/>
        <v xml:space="preserve">
</v>
      </c>
      <c r="J83" s="78"/>
    </row>
    <row r="84" spans="1:10" ht="36" x14ac:dyDescent="0.2">
      <c r="A84" s="63"/>
      <c r="B84" s="74"/>
      <c r="H84" s="64" t="str">
        <f t="shared" si="1"/>
        <v xml:space="preserve">
</v>
      </c>
      <c r="J84" s="78"/>
    </row>
    <row r="85" spans="1:10" ht="36" x14ac:dyDescent="0.2">
      <c r="A85" s="63"/>
      <c r="B85" s="74"/>
      <c r="H85" s="64" t="str">
        <f t="shared" si="1"/>
        <v xml:space="preserve">
</v>
      </c>
      <c r="J85" s="78"/>
    </row>
    <row r="86" spans="1:10" ht="36" x14ac:dyDescent="0.2">
      <c r="A86" s="63"/>
      <c r="B86" s="74"/>
      <c r="H86" s="64" t="str">
        <f t="shared" si="1"/>
        <v xml:space="preserve">
</v>
      </c>
      <c r="J86" s="78"/>
    </row>
    <row r="87" spans="1:10" ht="36" x14ac:dyDescent="0.2">
      <c r="A87" s="63"/>
      <c r="B87" s="74"/>
      <c r="H87" s="64" t="str">
        <f t="shared" si="1"/>
        <v xml:space="preserve">
</v>
      </c>
      <c r="J87" s="78"/>
    </row>
    <row r="88" spans="1:10" ht="36" x14ac:dyDescent="0.2">
      <c r="A88" s="63"/>
      <c r="B88" s="74"/>
      <c r="H88" s="64" t="str">
        <f t="shared" si="1"/>
        <v xml:space="preserve">
</v>
      </c>
      <c r="J88" s="78"/>
    </row>
    <row r="89" spans="1:10" ht="48" x14ac:dyDescent="0.2">
      <c r="A89" s="63"/>
      <c r="B89" s="74"/>
      <c r="H89" s="64" t="s">
        <v>97</v>
      </c>
    </row>
    <row r="90" spans="1:10" ht="36" x14ac:dyDescent="0.2">
      <c r="B90" s="77"/>
      <c r="H90" s="64" t="str">
        <f t="shared" ref="H90:H153" si="2">CONCATENATE(C90,CHAR(10),D90,CHAR(10),E90," ",F90,CHAR(10),G90)</f>
        <v xml:space="preserve">
</v>
      </c>
    </row>
    <row r="91" spans="1:10" ht="36" x14ac:dyDescent="0.2">
      <c r="B91" s="77"/>
      <c r="H91" s="64" t="str">
        <f t="shared" si="2"/>
        <v xml:space="preserve">
</v>
      </c>
    </row>
    <row r="92" spans="1:10" ht="36" x14ac:dyDescent="0.2">
      <c r="B92" s="77"/>
      <c r="H92" s="64" t="str">
        <f t="shared" si="2"/>
        <v xml:space="preserve">
</v>
      </c>
    </row>
    <row r="93" spans="1:10" ht="36" x14ac:dyDescent="0.2">
      <c r="B93" s="77"/>
      <c r="H93" s="64" t="str">
        <f t="shared" si="2"/>
        <v xml:space="preserve">
</v>
      </c>
    </row>
    <row r="94" spans="1:10" ht="36" x14ac:dyDescent="0.2">
      <c r="B94" s="77"/>
      <c r="H94" s="64" t="str">
        <f t="shared" si="2"/>
        <v xml:space="preserve">
</v>
      </c>
    </row>
    <row r="95" spans="1:10" ht="36" x14ac:dyDescent="0.2">
      <c r="B95" s="77"/>
      <c r="H95" s="64" t="str">
        <f t="shared" si="2"/>
        <v xml:space="preserve">
</v>
      </c>
    </row>
    <row r="96" spans="1:10" ht="36" x14ac:dyDescent="0.2">
      <c r="B96" s="77"/>
      <c r="H96" s="64" t="str">
        <f t="shared" si="2"/>
        <v xml:space="preserve">
</v>
      </c>
    </row>
    <row r="97" spans="2:8" ht="36" x14ac:dyDescent="0.2">
      <c r="B97" s="77"/>
      <c r="H97" s="64" t="str">
        <f t="shared" si="2"/>
        <v xml:space="preserve">
</v>
      </c>
    </row>
    <row r="98" spans="2:8" ht="36" x14ac:dyDescent="0.2">
      <c r="B98" s="77"/>
      <c r="H98" s="64" t="str">
        <f t="shared" si="2"/>
        <v xml:space="preserve">
</v>
      </c>
    </row>
    <row r="99" spans="2:8" ht="36" x14ac:dyDescent="0.2">
      <c r="B99" s="77"/>
      <c r="H99" s="64" t="str">
        <f t="shared" si="2"/>
        <v xml:space="preserve">
</v>
      </c>
    </row>
    <row r="100" spans="2:8" ht="36" x14ac:dyDescent="0.2">
      <c r="B100" s="77"/>
      <c r="H100" s="64" t="str">
        <f t="shared" si="2"/>
        <v xml:space="preserve">
</v>
      </c>
    </row>
    <row r="101" spans="2:8" ht="36" x14ac:dyDescent="0.2">
      <c r="B101" s="77"/>
      <c r="H101" s="64" t="str">
        <f t="shared" si="2"/>
        <v xml:space="preserve">
</v>
      </c>
    </row>
    <row r="102" spans="2:8" ht="36" x14ac:dyDescent="0.2">
      <c r="B102" s="77"/>
      <c r="H102" s="64" t="str">
        <f t="shared" si="2"/>
        <v xml:space="preserve">
</v>
      </c>
    </row>
    <row r="103" spans="2:8" ht="36" x14ac:dyDescent="0.2">
      <c r="B103" s="77"/>
      <c r="H103" s="64" t="str">
        <f t="shared" si="2"/>
        <v xml:space="preserve">
</v>
      </c>
    </row>
    <row r="104" spans="2:8" ht="36" x14ac:dyDescent="0.2">
      <c r="B104" s="77"/>
      <c r="H104" s="64" t="str">
        <f t="shared" si="2"/>
        <v xml:space="preserve">
</v>
      </c>
    </row>
    <row r="105" spans="2:8" ht="36" x14ac:dyDescent="0.2">
      <c r="B105" s="77"/>
      <c r="H105" s="64" t="str">
        <f t="shared" si="2"/>
        <v xml:space="preserve">
</v>
      </c>
    </row>
    <row r="106" spans="2:8" ht="36" x14ac:dyDescent="0.2">
      <c r="B106" s="77"/>
      <c r="H106" s="64" t="str">
        <f t="shared" si="2"/>
        <v xml:space="preserve">
</v>
      </c>
    </row>
    <row r="107" spans="2:8" ht="36" x14ac:dyDescent="0.2">
      <c r="B107" s="77"/>
      <c r="H107" s="64" t="str">
        <f t="shared" si="2"/>
        <v xml:space="preserve">
</v>
      </c>
    </row>
    <row r="108" spans="2:8" ht="36" x14ac:dyDescent="0.2">
      <c r="B108" s="77"/>
      <c r="H108" s="64" t="str">
        <f t="shared" si="2"/>
        <v xml:space="preserve">
</v>
      </c>
    </row>
    <row r="109" spans="2:8" ht="36" x14ac:dyDescent="0.2">
      <c r="B109" s="77"/>
      <c r="H109" s="64" t="str">
        <f t="shared" si="2"/>
        <v xml:space="preserve">
</v>
      </c>
    </row>
    <row r="110" spans="2:8" ht="36" x14ac:dyDescent="0.2">
      <c r="B110" s="77"/>
      <c r="H110" s="64" t="str">
        <f t="shared" si="2"/>
        <v xml:space="preserve">
</v>
      </c>
    </row>
    <row r="111" spans="2:8" ht="36" x14ac:dyDescent="0.2">
      <c r="B111" s="77"/>
      <c r="H111" s="64" t="str">
        <f t="shared" si="2"/>
        <v xml:space="preserve">
</v>
      </c>
    </row>
    <row r="112" spans="2:8" ht="36" x14ac:dyDescent="0.2">
      <c r="B112" s="77"/>
      <c r="H112" s="64" t="str">
        <f t="shared" si="2"/>
        <v xml:space="preserve">
</v>
      </c>
    </row>
    <row r="113" spans="2:8" ht="36" x14ac:dyDescent="0.2">
      <c r="B113" s="77"/>
      <c r="H113" s="64" t="str">
        <f t="shared" si="2"/>
        <v xml:space="preserve">
</v>
      </c>
    </row>
    <row r="114" spans="2:8" ht="36" x14ac:dyDescent="0.2">
      <c r="B114" s="77"/>
      <c r="H114" s="64" t="str">
        <f t="shared" si="2"/>
        <v xml:space="preserve">
</v>
      </c>
    </row>
    <row r="115" spans="2:8" ht="36" x14ac:dyDescent="0.2">
      <c r="B115" s="77"/>
      <c r="H115" s="64" t="str">
        <f t="shared" si="2"/>
        <v xml:space="preserve">
</v>
      </c>
    </row>
    <row r="116" spans="2:8" ht="36" x14ac:dyDescent="0.2">
      <c r="B116" s="77"/>
      <c r="H116" s="64" t="str">
        <f t="shared" si="2"/>
        <v xml:space="preserve">
</v>
      </c>
    </row>
    <row r="117" spans="2:8" ht="36" x14ac:dyDescent="0.2">
      <c r="B117" s="77"/>
      <c r="H117" s="64" t="str">
        <f t="shared" si="2"/>
        <v xml:space="preserve">
</v>
      </c>
    </row>
    <row r="118" spans="2:8" ht="36" x14ac:dyDescent="0.2">
      <c r="B118" s="77"/>
      <c r="H118" s="64" t="str">
        <f t="shared" si="2"/>
        <v xml:space="preserve">
</v>
      </c>
    </row>
    <row r="119" spans="2:8" ht="36" x14ac:dyDescent="0.2">
      <c r="B119" s="77"/>
      <c r="H119" s="64" t="str">
        <f t="shared" si="2"/>
        <v xml:space="preserve">
</v>
      </c>
    </row>
    <row r="120" spans="2:8" ht="36" x14ac:dyDescent="0.2">
      <c r="B120" s="77"/>
      <c r="H120" s="64" t="str">
        <f t="shared" si="2"/>
        <v xml:space="preserve">
</v>
      </c>
    </row>
    <row r="121" spans="2:8" ht="36" x14ac:dyDescent="0.2">
      <c r="B121" s="77"/>
      <c r="H121" s="64" t="str">
        <f t="shared" si="2"/>
        <v xml:space="preserve">
</v>
      </c>
    </row>
    <row r="122" spans="2:8" ht="36" x14ac:dyDescent="0.2">
      <c r="B122" s="77"/>
      <c r="H122" s="64" t="str">
        <f t="shared" si="2"/>
        <v xml:space="preserve">
</v>
      </c>
    </row>
    <row r="123" spans="2:8" ht="36" x14ac:dyDescent="0.2">
      <c r="B123" s="77"/>
      <c r="H123" s="64" t="str">
        <f t="shared" si="2"/>
        <v xml:space="preserve">
</v>
      </c>
    </row>
    <row r="124" spans="2:8" ht="36" x14ac:dyDescent="0.2">
      <c r="B124" s="77"/>
      <c r="H124" s="64" t="str">
        <f t="shared" si="2"/>
        <v xml:space="preserve">
</v>
      </c>
    </row>
    <row r="125" spans="2:8" ht="36" x14ac:dyDescent="0.2">
      <c r="B125" s="77"/>
      <c r="H125" s="64" t="str">
        <f t="shared" si="2"/>
        <v xml:space="preserve">
</v>
      </c>
    </row>
    <row r="126" spans="2:8" ht="36" x14ac:dyDescent="0.2">
      <c r="B126" s="77"/>
      <c r="H126" s="64" t="str">
        <f t="shared" si="2"/>
        <v xml:space="preserve">
</v>
      </c>
    </row>
    <row r="127" spans="2:8" ht="36" x14ac:dyDescent="0.2">
      <c r="B127" s="77"/>
      <c r="H127" s="64" t="str">
        <f t="shared" si="2"/>
        <v xml:space="preserve">
</v>
      </c>
    </row>
    <row r="128" spans="2:8" ht="36" x14ac:dyDescent="0.2">
      <c r="B128" s="77"/>
      <c r="H128" s="64" t="str">
        <f t="shared" si="2"/>
        <v xml:space="preserve">
</v>
      </c>
    </row>
    <row r="129" spans="2:8" ht="36" x14ac:dyDescent="0.2">
      <c r="B129" s="77"/>
      <c r="H129" s="64" t="str">
        <f t="shared" si="2"/>
        <v xml:space="preserve">
</v>
      </c>
    </row>
    <row r="130" spans="2:8" ht="36" x14ac:dyDescent="0.2">
      <c r="B130" s="77"/>
      <c r="H130" s="64" t="str">
        <f t="shared" si="2"/>
        <v xml:space="preserve">
</v>
      </c>
    </row>
    <row r="131" spans="2:8" ht="36" x14ac:dyDescent="0.2">
      <c r="H131" s="64" t="str">
        <f t="shared" si="2"/>
        <v xml:space="preserve">
</v>
      </c>
    </row>
    <row r="132" spans="2:8" ht="36" x14ac:dyDescent="0.2">
      <c r="H132" s="64" t="str">
        <f t="shared" si="2"/>
        <v xml:space="preserve">
</v>
      </c>
    </row>
    <row r="133" spans="2:8" ht="36" x14ac:dyDescent="0.2">
      <c r="H133" s="64" t="str">
        <f t="shared" si="2"/>
        <v xml:space="preserve">
</v>
      </c>
    </row>
    <row r="134" spans="2:8" ht="36" x14ac:dyDescent="0.2">
      <c r="H134" s="64" t="str">
        <f t="shared" si="2"/>
        <v xml:space="preserve">
</v>
      </c>
    </row>
    <row r="135" spans="2:8" ht="36" x14ac:dyDescent="0.2">
      <c r="H135" s="64" t="str">
        <f t="shared" si="2"/>
        <v xml:space="preserve">
</v>
      </c>
    </row>
    <row r="136" spans="2:8" ht="36" x14ac:dyDescent="0.2">
      <c r="H136" s="64" t="str">
        <f t="shared" si="2"/>
        <v xml:space="preserve">
</v>
      </c>
    </row>
    <row r="137" spans="2:8" ht="36" x14ac:dyDescent="0.2">
      <c r="H137" s="64" t="str">
        <f t="shared" si="2"/>
        <v xml:space="preserve">
</v>
      </c>
    </row>
    <row r="138" spans="2:8" ht="36" x14ac:dyDescent="0.2">
      <c r="H138" s="64" t="str">
        <f t="shared" si="2"/>
        <v xml:space="preserve">
</v>
      </c>
    </row>
    <row r="139" spans="2:8" ht="36" x14ac:dyDescent="0.2">
      <c r="H139" s="64" t="str">
        <f t="shared" si="2"/>
        <v xml:space="preserve">
</v>
      </c>
    </row>
    <row r="140" spans="2:8" ht="36" x14ac:dyDescent="0.2">
      <c r="H140" s="64" t="str">
        <f t="shared" si="2"/>
        <v xml:space="preserve">
</v>
      </c>
    </row>
    <row r="141" spans="2:8" ht="36" x14ac:dyDescent="0.2">
      <c r="H141" s="64" t="str">
        <f t="shared" si="2"/>
        <v xml:space="preserve">
</v>
      </c>
    </row>
    <row r="142" spans="2:8" ht="36" x14ac:dyDescent="0.2">
      <c r="H142" s="64" t="str">
        <f t="shared" si="2"/>
        <v xml:space="preserve">
</v>
      </c>
    </row>
    <row r="143" spans="2:8" ht="36" x14ac:dyDescent="0.2">
      <c r="H143" s="64" t="str">
        <f t="shared" si="2"/>
        <v xml:space="preserve">
</v>
      </c>
    </row>
    <row r="144" spans="2:8" ht="36" x14ac:dyDescent="0.2">
      <c r="H144" s="64" t="str">
        <f t="shared" si="2"/>
        <v xml:space="preserve">
</v>
      </c>
    </row>
    <row r="145" spans="8:8" ht="36" x14ac:dyDescent="0.2">
      <c r="H145" s="64" t="str">
        <f t="shared" si="2"/>
        <v xml:space="preserve">
</v>
      </c>
    </row>
    <row r="146" spans="8:8" ht="36" x14ac:dyDescent="0.2">
      <c r="H146" s="64" t="str">
        <f t="shared" si="2"/>
        <v xml:space="preserve">
</v>
      </c>
    </row>
    <row r="147" spans="8:8" ht="36" x14ac:dyDescent="0.2">
      <c r="H147" s="64" t="str">
        <f t="shared" si="2"/>
        <v xml:space="preserve">
</v>
      </c>
    </row>
    <row r="148" spans="8:8" ht="36" x14ac:dyDescent="0.2">
      <c r="H148" s="64" t="str">
        <f t="shared" si="2"/>
        <v xml:space="preserve">
</v>
      </c>
    </row>
    <row r="149" spans="8:8" ht="36" x14ac:dyDescent="0.2">
      <c r="H149" s="64" t="str">
        <f t="shared" si="2"/>
        <v xml:space="preserve">
</v>
      </c>
    </row>
    <row r="150" spans="8:8" ht="36" x14ac:dyDescent="0.2">
      <c r="H150" s="64" t="str">
        <f t="shared" si="2"/>
        <v xml:space="preserve">
</v>
      </c>
    </row>
    <row r="151" spans="8:8" ht="36" x14ac:dyDescent="0.2">
      <c r="H151" s="64" t="str">
        <f t="shared" si="2"/>
        <v xml:space="preserve">
</v>
      </c>
    </row>
    <row r="152" spans="8:8" ht="36" x14ac:dyDescent="0.2">
      <c r="H152" s="64" t="str">
        <f t="shared" si="2"/>
        <v xml:space="preserve">
</v>
      </c>
    </row>
    <row r="153" spans="8:8" ht="36" x14ac:dyDescent="0.2">
      <c r="H153" s="64" t="str">
        <f t="shared" si="2"/>
        <v xml:space="preserve">
</v>
      </c>
    </row>
    <row r="154" spans="8:8" ht="36" x14ac:dyDescent="0.2">
      <c r="H154" s="64" t="str">
        <f t="shared" ref="H154:H167" si="3">CONCATENATE(C154,CHAR(10),D154,CHAR(10),E154," ",F154,CHAR(10),G154)</f>
        <v xml:space="preserve">
</v>
      </c>
    </row>
    <row r="155" spans="8:8" ht="36" x14ac:dyDescent="0.2">
      <c r="H155" s="64" t="str">
        <f t="shared" si="3"/>
        <v xml:space="preserve">
</v>
      </c>
    </row>
    <row r="156" spans="8:8" ht="36" x14ac:dyDescent="0.2">
      <c r="H156" s="64" t="str">
        <f t="shared" si="3"/>
        <v xml:space="preserve">
</v>
      </c>
    </row>
    <row r="157" spans="8:8" ht="36" x14ac:dyDescent="0.2">
      <c r="H157" s="64" t="str">
        <f t="shared" si="3"/>
        <v xml:space="preserve">
</v>
      </c>
    </row>
    <row r="158" spans="8:8" ht="36" x14ac:dyDescent="0.2">
      <c r="H158" s="64" t="str">
        <f t="shared" si="3"/>
        <v xml:space="preserve">
</v>
      </c>
    </row>
    <row r="159" spans="8:8" ht="36" x14ac:dyDescent="0.2">
      <c r="H159" s="64" t="str">
        <f t="shared" si="3"/>
        <v xml:space="preserve">
</v>
      </c>
    </row>
    <row r="160" spans="8:8" ht="36" x14ac:dyDescent="0.2">
      <c r="H160" s="64" t="str">
        <f t="shared" si="3"/>
        <v xml:space="preserve">
</v>
      </c>
    </row>
    <row r="161" spans="5:8" ht="36" x14ac:dyDescent="0.2">
      <c r="H161" s="64" t="str">
        <f t="shared" si="3"/>
        <v xml:space="preserve">
</v>
      </c>
    </row>
    <row r="162" spans="5:8" ht="36" x14ac:dyDescent="0.2">
      <c r="H162" s="64" t="str">
        <f t="shared" si="3"/>
        <v xml:space="preserve">
</v>
      </c>
    </row>
    <row r="163" spans="5:8" ht="36" x14ac:dyDescent="0.2">
      <c r="H163" s="64" t="str">
        <f t="shared" si="3"/>
        <v xml:space="preserve">
</v>
      </c>
    </row>
    <row r="164" spans="5:8" ht="36" x14ac:dyDescent="0.2">
      <c r="H164" s="64" t="str">
        <f t="shared" si="3"/>
        <v xml:space="preserve">
</v>
      </c>
    </row>
    <row r="165" spans="5:8" ht="36" x14ac:dyDescent="0.2">
      <c r="H165" s="64" t="str">
        <f t="shared" si="3"/>
        <v xml:space="preserve">
</v>
      </c>
    </row>
    <row r="166" spans="5:8" ht="36" x14ac:dyDescent="0.2">
      <c r="H166" s="64" t="str">
        <f t="shared" si="3"/>
        <v xml:space="preserve">
</v>
      </c>
    </row>
    <row r="167" spans="5:8" ht="36" x14ac:dyDescent="0.2">
      <c r="H167" s="64" t="str">
        <f t="shared" si="3"/>
        <v xml:space="preserve">
</v>
      </c>
    </row>
    <row r="168" spans="5:8" ht="36" x14ac:dyDescent="0.2">
      <c r="E168" s="79"/>
      <c r="H168" s="64" t="str">
        <f>UPPER(CONCATENATE(C168,"/ ",A168,CHAR(10),D168,CHAR(10),E168," ",F168,CHAR(10),G168))</f>
        <v xml:space="preserve">/ 
</v>
      </c>
    </row>
    <row r="169" spans="5:8" ht="36" x14ac:dyDescent="0.2">
      <c r="E169" s="79"/>
      <c r="H169" s="64" t="str">
        <f t="shared" ref="H169:H232" si="4">UPPER(CONCATENATE(C169,"/ ",A169,CHAR(10),D169,CHAR(10),E169," ",F169,CHAR(10),G169))</f>
        <v xml:space="preserve">/ 
</v>
      </c>
    </row>
    <row r="170" spans="5:8" ht="36" x14ac:dyDescent="0.2">
      <c r="E170" s="79"/>
      <c r="H170" s="64" t="str">
        <f t="shared" si="4"/>
        <v xml:space="preserve">/ 
</v>
      </c>
    </row>
    <row r="171" spans="5:8" ht="36" x14ac:dyDescent="0.2">
      <c r="E171" s="79"/>
      <c r="H171" s="64" t="str">
        <f t="shared" si="4"/>
        <v xml:space="preserve">/ 
</v>
      </c>
    </row>
    <row r="172" spans="5:8" ht="36" x14ac:dyDescent="0.2">
      <c r="E172" s="79"/>
      <c r="H172" s="64" t="str">
        <f t="shared" si="4"/>
        <v xml:space="preserve">/ 
</v>
      </c>
    </row>
    <row r="173" spans="5:8" ht="36" x14ac:dyDescent="0.2">
      <c r="E173" s="80"/>
      <c r="H173" s="64" t="str">
        <f t="shared" si="4"/>
        <v xml:space="preserve">/ 
</v>
      </c>
    </row>
    <row r="174" spans="5:8" ht="36" x14ac:dyDescent="0.2">
      <c r="E174" s="79"/>
      <c r="H174" s="64" t="str">
        <f t="shared" si="4"/>
        <v xml:space="preserve">/ 
</v>
      </c>
    </row>
    <row r="175" spans="5:8" ht="36" x14ac:dyDescent="0.2">
      <c r="E175" s="79"/>
      <c r="H175" s="64" t="str">
        <f t="shared" si="4"/>
        <v xml:space="preserve">/ 
</v>
      </c>
    </row>
    <row r="176" spans="5:8" ht="36" x14ac:dyDescent="0.2">
      <c r="E176" s="79"/>
      <c r="H176" s="64" t="str">
        <f t="shared" si="4"/>
        <v xml:space="preserve">/ 
</v>
      </c>
    </row>
    <row r="177" spans="5:8" ht="36" x14ac:dyDescent="0.2">
      <c r="E177" s="79"/>
      <c r="H177" s="64" t="str">
        <f t="shared" si="4"/>
        <v xml:space="preserve">/ 
</v>
      </c>
    </row>
    <row r="178" spans="5:8" ht="36" x14ac:dyDescent="0.2">
      <c r="E178" s="79"/>
      <c r="H178" s="64" t="str">
        <f t="shared" si="4"/>
        <v xml:space="preserve">/ 
</v>
      </c>
    </row>
    <row r="179" spans="5:8" ht="36" x14ac:dyDescent="0.2">
      <c r="E179" s="79"/>
      <c r="H179" s="64" t="str">
        <f t="shared" si="4"/>
        <v xml:space="preserve">/ 
</v>
      </c>
    </row>
    <row r="180" spans="5:8" ht="36" x14ac:dyDescent="0.2">
      <c r="E180" s="79"/>
      <c r="H180" s="64" t="str">
        <f t="shared" si="4"/>
        <v xml:space="preserve">/ 
</v>
      </c>
    </row>
    <row r="181" spans="5:8" ht="36" x14ac:dyDescent="0.2">
      <c r="E181" s="79"/>
      <c r="H181" s="64" t="str">
        <f t="shared" si="4"/>
        <v xml:space="preserve">/ 
</v>
      </c>
    </row>
    <row r="182" spans="5:8" ht="36" x14ac:dyDescent="0.2">
      <c r="E182" s="79"/>
      <c r="H182" s="64" t="str">
        <f t="shared" si="4"/>
        <v xml:space="preserve">/ 
</v>
      </c>
    </row>
    <row r="183" spans="5:8" ht="36" x14ac:dyDescent="0.2">
      <c r="E183" s="79"/>
      <c r="H183" s="64" t="str">
        <f t="shared" si="4"/>
        <v xml:space="preserve">/ 
</v>
      </c>
    </row>
    <row r="184" spans="5:8" ht="36" x14ac:dyDescent="0.2">
      <c r="E184" s="79"/>
      <c r="H184" s="64" t="str">
        <f t="shared" si="4"/>
        <v xml:space="preserve">/ 
</v>
      </c>
    </row>
    <row r="185" spans="5:8" ht="36" x14ac:dyDescent="0.2">
      <c r="E185" s="79"/>
      <c r="H185" s="64" t="str">
        <f t="shared" si="4"/>
        <v xml:space="preserve">/ 
</v>
      </c>
    </row>
    <row r="186" spans="5:8" ht="36" x14ac:dyDescent="0.2">
      <c r="E186" s="79"/>
      <c r="H186" s="64" t="str">
        <f t="shared" si="4"/>
        <v xml:space="preserve">/ 
</v>
      </c>
    </row>
    <row r="187" spans="5:8" ht="36" x14ac:dyDescent="0.2">
      <c r="E187" s="79"/>
      <c r="H187" s="64" t="str">
        <f t="shared" si="4"/>
        <v xml:space="preserve">/ 
</v>
      </c>
    </row>
    <row r="188" spans="5:8" ht="36" x14ac:dyDescent="0.2">
      <c r="E188" s="79"/>
      <c r="H188" s="64" t="str">
        <f t="shared" si="4"/>
        <v xml:space="preserve">/ 
</v>
      </c>
    </row>
    <row r="189" spans="5:8" ht="36" x14ac:dyDescent="0.2">
      <c r="E189" s="79"/>
      <c r="H189" s="64" t="str">
        <f t="shared" si="4"/>
        <v xml:space="preserve">/ 
</v>
      </c>
    </row>
    <row r="190" spans="5:8" ht="36" x14ac:dyDescent="0.2">
      <c r="E190" s="79"/>
      <c r="H190" s="64" t="str">
        <f t="shared" si="4"/>
        <v xml:space="preserve">/ 
</v>
      </c>
    </row>
    <row r="191" spans="5:8" ht="36" x14ac:dyDescent="0.2">
      <c r="E191" s="79"/>
      <c r="H191" s="64" t="str">
        <f t="shared" si="4"/>
        <v xml:space="preserve">/ 
</v>
      </c>
    </row>
    <row r="192" spans="5:8" ht="36" x14ac:dyDescent="0.2">
      <c r="E192" s="79"/>
      <c r="H192" s="64" t="str">
        <f t="shared" si="4"/>
        <v xml:space="preserve">/ 
</v>
      </c>
    </row>
    <row r="193" spans="5:8" ht="36" x14ac:dyDescent="0.2">
      <c r="E193" s="79"/>
      <c r="H193" s="64" t="str">
        <f t="shared" si="4"/>
        <v xml:space="preserve">/ 
</v>
      </c>
    </row>
    <row r="194" spans="5:8" ht="36" x14ac:dyDescent="0.2">
      <c r="E194" s="79"/>
      <c r="H194" s="64" t="str">
        <f t="shared" si="4"/>
        <v xml:space="preserve">/ 
</v>
      </c>
    </row>
    <row r="195" spans="5:8" ht="36" x14ac:dyDescent="0.2">
      <c r="E195" s="79"/>
      <c r="H195" s="64" t="str">
        <f t="shared" si="4"/>
        <v xml:space="preserve">/ 
</v>
      </c>
    </row>
    <row r="196" spans="5:8" ht="36" x14ac:dyDescent="0.2">
      <c r="E196" s="79"/>
      <c r="H196" s="64" t="str">
        <f t="shared" si="4"/>
        <v xml:space="preserve">/ 
</v>
      </c>
    </row>
    <row r="197" spans="5:8" ht="36" x14ac:dyDescent="0.2">
      <c r="E197" s="79"/>
      <c r="H197" s="64" t="str">
        <f t="shared" si="4"/>
        <v xml:space="preserve">/ 
</v>
      </c>
    </row>
    <row r="198" spans="5:8" ht="36" x14ac:dyDescent="0.2">
      <c r="E198" s="79"/>
      <c r="H198" s="64" t="str">
        <f t="shared" si="4"/>
        <v xml:space="preserve">/ 
</v>
      </c>
    </row>
    <row r="199" spans="5:8" ht="36" x14ac:dyDescent="0.2">
      <c r="E199" s="79"/>
      <c r="H199" s="64" t="str">
        <f t="shared" si="4"/>
        <v xml:space="preserve">/ 
</v>
      </c>
    </row>
    <row r="200" spans="5:8" ht="36" x14ac:dyDescent="0.2">
      <c r="E200" s="79"/>
      <c r="H200" s="64" t="str">
        <f t="shared" si="4"/>
        <v xml:space="preserve">/ 
</v>
      </c>
    </row>
    <row r="201" spans="5:8" ht="36" x14ac:dyDescent="0.2">
      <c r="E201" s="79"/>
      <c r="H201" s="64" t="str">
        <f t="shared" si="4"/>
        <v xml:space="preserve">/ 
</v>
      </c>
    </row>
    <row r="202" spans="5:8" ht="36" x14ac:dyDescent="0.2">
      <c r="E202" s="79"/>
      <c r="H202" s="64" t="str">
        <f t="shared" si="4"/>
        <v xml:space="preserve">/ 
</v>
      </c>
    </row>
    <row r="203" spans="5:8" ht="36" x14ac:dyDescent="0.2">
      <c r="E203" s="79"/>
      <c r="H203" s="64" t="str">
        <f t="shared" si="4"/>
        <v xml:space="preserve">/ 
</v>
      </c>
    </row>
    <row r="204" spans="5:8" ht="36" x14ac:dyDescent="0.2">
      <c r="E204" s="79"/>
      <c r="H204" s="64" t="str">
        <f t="shared" si="4"/>
        <v xml:space="preserve">/ 
</v>
      </c>
    </row>
    <row r="205" spans="5:8" ht="36" x14ac:dyDescent="0.2">
      <c r="E205" s="79"/>
      <c r="H205" s="64" t="str">
        <f t="shared" si="4"/>
        <v xml:space="preserve">/ 
</v>
      </c>
    </row>
    <row r="206" spans="5:8" ht="36" x14ac:dyDescent="0.2">
      <c r="E206" s="79"/>
      <c r="H206" s="64" t="str">
        <f t="shared" si="4"/>
        <v xml:space="preserve">/ 
</v>
      </c>
    </row>
    <row r="207" spans="5:8" ht="36" x14ac:dyDescent="0.2">
      <c r="E207" s="79"/>
      <c r="H207" s="64" t="str">
        <f t="shared" si="4"/>
        <v xml:space="preserve">/ 
</v>
      </c>
    </row>
    <row r="208" spans="5:8" ht="36" x14ac:dyDescent="0.2">
      <c r="E208" s="79"/>
      <c r="H208" s="64" t="str">
        <f t="shared" si="4"/>
        <v xml:space="preserve">/ 
</v>
      </c>
    </row>
    <row r="209" spans="5:8" ht="36" x14ac:dyDescent="0.2">
      <c r="E209" s="79"/>
      <c r="H209" s="64" t="str">
        <f t="shared" si="4"/>
        <v xml:space="preserve">/ 
</v>
      </c>
    </row>
    <row r="210" spans="5:8" ht="36" x14ac:dyDescent="0.2">
      <c r="E210" s="79"/>
      <c r="H210" s="64" t="str">
        <f t="shared" si="4"/>
        <v xml:space="preserve">/ 
</v>
      </c>
    </row>
    <row r="211" spans="5:8" ht="36" x14ac:dyDescent="0.2">
      <c r="E211" s="79"/>
      <c r="H211" s="64" t="str">
        <f t="shared" si="4"/>
        <v xml:space="preserve">/ 
</v>
      </c>
    </row>
    <row r="212" spans="5:8" ht="36" x14ac:dyDescent="0.2">
      <c r="E212" s="79"/>
      <c r="H212" s="64" t="str">
        <f t="shared" si="4"/>
        <v xml:space="preserve">/ 
</v>
      </c>
    </row>
    <row r="213" spans="5:8" ht="36" x14ac:dyDescent="0.2">
      <c r="E213" s="79"/>
      <c r="H213" s="64" t="str">
        <f t="shared" si="4"/>
        <v xml:space="preserve">/ 
</v>
      </c>
    </row>
    <row r="214" spans="5:8" ht="36" x14ac:dyDescent="0.2">
      <c r="E214" s="79"/>
      <c r="H214" s="64" t="str">
        <f t="shared" si="4"/>
        <v xml:space="preserve">/ 
</v>
      </c>
    </row>
    <row r="215" spans="5:8" ht="36" x14ac:dyDescent="0.2">
      <c r="E215" s="79"/>
      <c r="H215" s="64" t="str">
        <f t="shared" si="4"/>
        <v xml:space="preserve">/ 
</v>
      </c>
    </row>
    <row r="216" spans="5:8" ht="36" x14ac:dyDescent="0.2">
      <c r="E216" s="79"/>
      <c r="H216" s="64" t="str">
        <f t="shared" si="4"/>
        <v xml:space="preserve">/ 
</v>
      </c>
    </row>
    <row r="217" spans="5:8" ht="36" x14ac:dyDescent="0.2">
      <c r="E217" s="79"/>
      <c r="H217" s="64" t="str">
        <f t="shared" si="4"/>
        <v xml:space="preserve">/ 
</v>
      </c>
    </row>
    <row r="218" spans="5:8" ht="36" x14ac:dyDescent="0.2">
      <c r="E218" s="79"/>
      <c r="H218" s="64" t="str">
        <f t="shared" si="4"/>
        <v xml:space="preserve">/ 
</v>
      </c>
    </row>
    <row r="219" spans="5:8" ht="36" x14ac:dyDescent="0.2">
      <c r="E219" s="79"/>
      <c r="H219" s="64" t="str">
        <f t="shared" si="4"/>
        <v xml:space="preserve">/ 
</v>
      </c>
    </row>
    <row r="220" spans="5:8" ht="36" x14ac:dyDescent="0.2">
      <c r="E220" s="79"/>
      <c r="H220" s="64" t="str">
        <f t="shared" si="4"/>
        <v xml:space="preserve">/ 
</v>
      </c>
    </row>
    <row r="221" spans="5:8" ht="36" x14ac:dyDescent="0.2">
      <c r="E221" s="79"/>
      <c r="H221" s="64" t="str">
        <f t="shared" si="4"/>
        <v xml:space="preserve">/ 
</v>
      </c>
    </row>
    <row r="222" spans="5:8" ht="36" x14ac:dyDescent="0.2">
      <c r="E222" s="79"/>
      <c r="H222" s="64" t="str">
        <f t="shared" si="4"/>
        <v xml:space="preserve">/ 
</v>
      </c>
    </row>
    <row r="223" spans="5:8" ht="36" x14ac:dyDescent="0.2">
      <c r="E223" s="79"/>
      <c r="H223" s="64" t="str">
        <f t="shared" si="4"/>
        <v xml:space="preserve">/ 
</v>
      </c>
    </row>
    <row r="224" spans="5:8" ht="36" x14ac:dyDescent="0.2">
      <c r="E224" s="79"/>
      <c r="H224" s="64" t="str">
        <f t="shared" si="4"/>
        <v xml:space="preserve">/ 
</v>
      </c>
    </row>
    <row r="225" spans="5:8" ht="36" x14ac:dyDescent="0.2">
      <c r="E225" s="79"/>
      <c r="H225" s="64" t="str">
        <f t="shared" si="4"/>
        <v xml:space="preserve">/ 
</v>
      </c>
    </row>
    <row r="226" spans="5:8" ht="36" x14ac:dyDescent="0.2">
      <c r="E226" s="79"/>
      <c r="H226" s="64" t="str">
        <f t="shared" si="4"/>
        <v xml:space="preserve">/ 
</v>
      </c>
    </row>
    <row r="227" spans="5:8" ht="36" x14ac:dyDescent="0.2">
      <c r="E227" s="79"/>
      <c r="H227" s="64" t="str">
        <f t="shared" si="4"/>
        <v xml:space="preserve">/ 
</v>
      </c>
    </row>
    <row r="228" spans="5:8" ht="36" x14ac:dyDescent="0.2">
      <c r="E228" s="79"/>
      <c r="H228" s="64" t="str">
        <f t="shared" si="4"/>
        <v xml:space="preserve">/ 
</v>
      </c>
    </row>
    <row r="229" spans="5:8" ht="36" x14ac:dyDescent="0.2">
      <c r="E229" s="79"/>
      <c r="H229" s="64" t="str">
        <f t="shared" si="4"/>
        <v xml:space="preserve">/ 
</v>
      </c>
    </row>
    <row r="230" spans="5:8" ht="36" x14ac:dyDescent="0.2">
      <c r="E230" s="79"/>
      <c r="H230" s="64" t="str">
        <f t="shared" si="4"/>
        <v xml:space="preserve">/ 
</v>
      </c>
    </row>
    <row r="231" spans="5:8" ht="36" x14ac:dyDescent="0.2">
      <c r="E231" s="79"/>
      <c r="H231" s="64" t="str">
        <f t="shared" si="4"/>
        <v xml:space="preserve">/ 
</v>
      </c>
    </row>
    <row r="232" spans="5:8" ht="36" x14ac:dyDescent="0.2">
      <c r="E232" s="79"/>
      <c r="H232" s="64" t="str">
        <f t="shared" si="4"/>
        <v xml:space="preserve">/ 
</v>
      </c>
    </row>
    <row r="233" spans="5:8" ht="36" x14ac:dyDescent="0.2">
      <c r="E233" s="81"/>
      <c r="H233" s="64" t="str">
        <f t="shared" ref="H233:H296" si="5">UPPER(CONCATENATE(C233,"/ ",A233,CHAR(10),D233,CHAR(10),E233," ",F233,CHAR(10),G233))</f>
        <v xml:space="preserve">/ 
</v>
      </c>
    </row>
    <row r="234" spans="5:8" ht="36" x14ac:dyDescent="0.2">
      <c r="E234" s="79"/>
      <c r="H234" s="64" t="str">
        <f t="shared" si="5"/>
        <v xml:space="preserve">/ 
</v>
      </c>
    </row>
    <row r="235" spans="5:8" ht="36" x14ac:dyDescent="0.2">
      <c r="E235" s="79"/>
      <c r="H235" s="64" t="str">
        <f t="shared" si="5"/>
        <v xml:space="preserve">/ 
</v>
      </c>
    </row>
    <row r="236" spans="5:8" ht="36" x14ac:dyDescent="0.2">
      <c r="E236" s="82"/>
      <c r="H236" s="64" t="str">
        <f t="shared" si="5"/>
        <v xml:space="preserve">/ 
</v>
      </c>
    </row>
    <row r="237" spans="5:8" ht="36" x14ac:dyDescent="0.2">
      <c r="E237" s="83"/>
      <c r="H237" s="64" t="str">
        <f t="shared" si="5"/>
        <v xml:space="preserve">/ 
</v>
      </c>
    </row>
    <row r="238" spans="5:8" ht="36" x14ac:dyDescent="0.2">
      <c r="E238" s="84"/>
      <c r="H238" s="64" t="str">
        <f t="shared" si="5"/>
        <v xml:space="preserve">/ 
</v>
      </c>
    </row>
    <row r="239" spans="5:8" ht="36" x14ac:dyDescent="0.2">
      <c r="E239" s="85"/>
      <c r="H239" s="64" t="str">
        <f t="shared" si="5"/>
        <v xml:space="preserve">/ 
</v>
      </c>
    </row>
    <row r="240" spans="5:8" ht="36" x14ac:dyDescent="0.2">
      <c r="E240" s="85"/>
      <c r="H240" s="64" t="str">
        <f t="shared" si="5"/>
        <v xml:space="preserve">/ 
</v>
      </c>
    </row>
    <row r="241" spans="5:8" ht="36" x14ac:dyDescent="0.2">
      <c r="E241" s="86"/>
      <c r="H241" s="64" t="str">
        <f t="shared" si="5"/>
        <v xml:space="preserve">/ 
</v>
      </c>
    </row>
    <row r="242" spans="5:8" ht="36" x14ac:dyDescent="0.2">
      <c r="E242" s="86"/>
      <c r="H242" s="64" t="str">
        <f t="shared" si="5"/>
        <v xml:space="preserve">/ 
</v>
      </c>
    </row>
    <row r="243" spans="5:8" ht="36" x14ac:dyDescent="0.2">
      <c r="E243" s="83"/>
      <c r="H243" s="64" t="str">
        <f t="shared" si="5"/>
        <v xml:space="preserve">/ 
</v>
      </c>
    </row>
    <row r="244" spans="5:8" ht="36" x14ac:dyDescent="0.2">
      <c r="E244" s="83"/>
      <c r="H244" s="64" t="str">
        <f t="shared" si="5"/>
        <v xml:space="preserve">/ 
</v>
      </c>
    </row>
    <row r="245" spans="5:8" ht="36" x14ac:dyDescent="0.2">
      <c r="E245" s="87"/>
      <c r="H245" s="64" t="str">
        <f t="shared" si="5"/>
        <v xml:space="preserve">/ 
</v>
      </c>
    </row>
    <row r="246" spans="5:8" ht="36" x14ac:dyDescent="0.2">
      <c r="E246" s="83"/>
      <c r="H246" s="64" t="str">
        <f t="shared" si="5"/>
        <v xml:space="preserve">/ 
</v>
      </c>
    </row>
    <row r="247" spans="5:8" ht="36" x14ac:dyDescent="0.2">
      <c r="E247" s="83"/>
      <c r="H247" s="64" t="str">
        <f t="shared" si="5"/>
        <v xml:space="preserve">/ 
</v>
      </c>
    </row>
    <row r="248" spans="5:8" ht="36" x14ac:dyDescent="0.2">
      <c r="E248" s="83"/>
      <c r="H248" s="64" t="str">
        <f t="shared" si="5"/>
        <v xml:space="preserve">/ 
</v>
      </c>
    </row>
    <row r="249" spans="5:8" ht="36" x14ac:dyDescent="0.2">
      <c r="E249" s="83"/>
      <c r="H249" s="64" t="str">
        <f t="shared" si="5"/>
        <v xml:space="preserve">/ 
</v>
      </c>
    </row>
    <row r="250" spans="5:8" ht="36" x14ac:dyDescent="0.2">
      <c r="E250" s="83"/>
      <c r="H250" s="64" t="str">
        <f t="shared" si="5"/>
        <v xml:space="preserve">/ 
</v>
      </c>
    </row>
    <row r="251" spans="5:8" ht="36" x14ac:dyDescent="0.2">
      <c r="E251" s="83"/>
      <c r="H251" s="64" t="str">
        <f t="shared" si="5"/>
        <v xml:space="preserve">/ 
</v>
      </c>
    </row>
    <row r="252" spans="5:8" ht="36" x14ac:dyDescent="0.2">
      <c r="E252" s="86"/>
      <c r="H252" s="64" t="str">
        <f t="shared" si="5"/>
        <v xml:space="preserve">/ 
</v>
      </c>
    </row>
    <row r="253" spans="5:8" ht="36" x14ac:dyDescent="0.2">
      <c r="E253" s="84"/>
      <c r="H253" s="64" t="str">
        <f t="shared" si="5"/>
        <v xml:space="preserve">/ 
</v>
      </c>
    </row>
    <row r="254" spans="5:8" ht="36" x14ac:dyDescent="0.2">
      <c r="E254" s="86"/>
      <c r="H254" s="64" t="str">
        <f t="shared" si="5"/>
        <v xml:space="preserve">/ 
</v>
      </c>
    </row>
    <row r="255" spans="5:8" ht="36" x14ac:dyDescent="0.2">
      <c r="E255" s="83"/>
      <c r="H255" s="64" t="str">
        <f t="shared" si="5"/>
        <v xml:space="preserve">/ 
</v>
      </c>
    </row>
    <row r="256" spans="5:8" ht="36" x14ac:dyDescent="0.2">
      <c r="E256" s="86"/>
      <c r="H256" s="64" t="str">
        <f t="shared" si="5"/>
        <v xml:space="preserve">/ 
</v>
      </c>
    </row>
    <row r="257" spans="5:8" ht="36" x14ac:dyDescent="0.2">
      <c r="E257" s="87"/>
      <c r="H257" s="64" t="str">
        <f t="shared" si="5"/>
        <v xml:space="preserve">/ 
</v>
      </c>
    </row>
    <row r="258" spans="5:8" ht="36" x14ac:dyDescent="0.2">
      <c r="E258" s="88"/>
      <c r="H258" s="64" t="str">
        <f t="shared" si="5"/>
        <v xml:space="preserve">/ 
</v>
      </c>
    </row>
    <row r="259" spans="5:8" ht="36" x14ac:dyDescent="0.2">
      <c r="E259" s="88"/>
      <c r="H259" s="64" t="str">
        <f t="shared" si="5"/>
        <v xml:space="preserve">/ 
</v>
      </c>
    </row>
    <row r="260" spans="5:8" ht="36" x14ac:dyDescent="0.2">
      <c r="E260" s="86"/>
      <c r="H260" s="64" t="str">
        <f t="shared" si="5"/>
        <v xml:space="preserve">/ 
</v>
      </c>
    </row>
    <row r="261" spans="5:8" ht="36" x14ac:dyDescent="0.2">
      <c r="E261" s="83"/>
      <c r="H261" s="64" t="str">
        <f t="shared" si="5"/>
        <v xml:space="preserve">/ 
</v>
      </c>
    </row>
    <row r="262" spans="5:8" ht="36" x14ac:dyDescent="0.2">
      <c r="E262" s="83"/>
      <c r="H262" s="64" t="str">
        <f t="shared" si="5"/>
        <v xml:space="preserve">/ 
</v>
      </c>
    </row>
    <row r="263" spans="5:8" ht="36" x14ac:dyDescent="0.2">
      <c r="E263" s="89"/>
      <c r="H263" s="64" t="str">
        <f t="shared" si="5"/>
        <v xml:space="preserve">/ 
</v>
      </c>
    </row>
    <row r="264" spans="5:8" ht="36" x14ac:dyDescent="0.2">
      <c r="E264" s="83"/>
      <c r="H264" s="64" t="str">
        <f t="shared" si="5"/>
        <v xml:space="preserve">/ 
</v>
      </c>
    </row>
    <row r="265" spans="5:8" ht="36" x14ac:dyDescent="0.2">
      <c r="E265" s="83"/>
      <c r="H265" s="64" t="str">
        <f t="shared" si="5"/>
        <v xml:space="preserve">/ 
</v>
      </c>
    </row>
    <row r="266" spans="5:8" ht="36" x14ac:dyDescent="0.2">
      <c r="E266" s="83"/>
      <c r="H266" s="64" t="str">
        <f t="shared" si="5"/>
        <v xml:space="preserve">/ 
</v>
      </c>
    </row>
    <row r="267" spans="5:8" ht="36" x14ac:dyDescent="0.2">
      <c r="E267" s="86"/>
      <c r="H267" s="64" t="str">
        <f t="shared" si="5"/>
        <v xml:space="preserve">/ 
</v>
      </c>
    </row>
    <row r="268" spans="5:8" ht="36" x14ac:dyDescent="0.2">
      <c r="E268" s="90"/>
      <c r="H268" s="64" t="str">
        <f t="shared" si="5"/>
        <v xml:space="preserve">/ 
</v>
      </c>
    </row>
    <row r="269" spans="5:8" ht="36" x14ac:dyDescent="0.2">
      <c r="E269" s="86"/>
      <c r="H269" s="64" t="str">
        <f t="shared" si="5"/>
        <v xml:space="preserve">/ 
</v>
      </c>
    </row>
    <row r="270" spans="5:8" ht="36" x14ac:dyDescent="0.2">
      <c r="E270" s="86"/>
      <c r="H270" s="64" t="str">
        <f t="shared" si="5"/>
        <v xml:space="preserve">/ 
</v>
      </c>
    </row>
    <row r="271" spans="5:8" ht="36" x14ac:dyDescent="0.2">
      <c r="E271" s="91"/>
      <c r="H271" s="64" t="str">
        <f t="shared" si="5"/>
        <v xml:space="preserve">/ 
</v>
      </c>
    </row>
    <row r="272" spans="5:8" ht="36" x14ac:dyDescent="0.2">
      <c r="E272" s="84"/>
      <c r="H272" s="64" t="str">
        <f t="shared" si="5"/>
        <v xml:space="preserve">/ 
</v>
      </c>
    </row>
    <row r="273" spans="5:8" ht="36" x14ac:dyDescent="0.2">
      <c r="E273" s="86"/>
      <c r="H273" s="64" t="str">
        <f t="shared" si="5"/>
        <v xml:space="preserve">/ 
</v>
      </c>
    </row>
    <row r="274" spans="5:8" ht="36" x14ac:dyDescent="0.2">
      <c r="E274" s="91"/>
      <c r="H274" s="64" t="str">
        <f t="shared" si="5"/>
        <v xml:space="preserve">/ 
</v>
      </c>
    </row>
    <row r="275" spans="5:8" ht="36" x14ac:dyDescent="0.2">
      <c r="E275" s="91"/>
      <c r="H275" s="64" t="str">
        <f t="shared" si="5"/>
        <v xml:space="preserve">/ 
</v>
      </c>
    </row>
    <row r="276" spans="5:8" ht="36" x14ac:dyDescent="0.2">
      <c r="E276" s="91"/>
      <c r="H276" s="64" t="str">
        <f t="shared" si="5"/>
        <v xml:space="preserve">/ 
</v>
      </c>
    </row>
    <row r="277" spans="5:8" ht="36" x14ac:dyDescent="0.2">
      <c r="E277" s="91"/>
      <c r="H277" s="64" t="str">
        <f t="shared" si="5"/>
        <v xml:space="preserve">/ 
</v>
      </c>
    </row>
    <row r="278" spans="5:8" ht="36" x14ac:dyDescent="0.2">
      <c r="E278" s="84"/>
      <c r="H278" s="64" t="str">
        <f t="shared" si="5"/>
        <v xml:space="preserve">/ 
</v>
      </c>
    </row>
    <row r="279" spans="5:8" ht="36" x14ac:dyDescent="0.2">
      <c r="E279" s="86"/>
      <c r="H279" s="64" t="str">
        <f t="shared" si="5"/>
        <v xml:space="preserve">/ 
</v>
      </c>
    </row>
    <row r="280" spans="5:8" ht="36" x14ac:dyDescent="0.2">
      <c r="E280" s="86"/>
      <c r="H280" s="64" t="str">
        <f t="shared" si="5"/>
        <v xml:space="preserve">/ 
</v>
      </c>
    </row>
    <row r="281" spans="5:8" ht="36" x14ac:dyDescent="0.2">
      <c r="E281" s="83"/>
      <c r="H281" s="64" t="str">
        <f t="shared" si="5"/>
        <v xml:space="preserve">/ 
</v>
      </c>
    </row>
    <row r="282" spans="5:8" ht="36" x14ac:dyDescent="0.2">
      <c r="E282" s="83"/>
      <c r="H282" s="64" t="str">
        <f t="shared" si="5"/>
        <v xml:space="preserve">/ 
</v>
      </c>
    </row>
    <row r="283" spans="5:8" ht="36" x14ac:dyDescent="0.2">
      <c r="E283" s="79"/>
      <c r="H283" s="64" t="str">
        <f t="shared" si="5"/>
        <v xml:space="preserve">/ 
</v>
      </c>
    </row>
    <row r="284" spans="5:8" ht="36" x14ac:dyDescent="0.2">
      <c r="E284" s="92"/>
      <c r="H284" s="64" t="str">
        <f t="shared" si="5"/>
        <v xml:space="preserve">/ 
</v>
      </c>
    </row>
    <row r="285" spans="5:8" ht="36" x14ac:dyDescent="0.2">
      <c r="E285" s="84"/>
      <c r="H285" s="64" t="str">
        <f t="shared" si="5"/>
        <v xml:space="preserve">/ 
</v>
      </c>
    </row>
    <row r="286" spans="5:8" ht="36" x14ac:dyDescent="0.2">
      <c r="E286" s="83"/>
      <c r="H286" s="64" t="str">
        <f t="shared" si="5"/>
        <v xml:space="preserve">/ 
</v>
      </c>
    </row>
    <row r="287" spans="5:8" ht="36" x14ac:dyDescent="0.2">
      <c r="E287" s="83"/>
      <c r="H287" s="64" t="str">
        <f t="shared" si="5"/>
        <v xml:space="preserve">/ 
</v>
      </c>
    </row>
    <row r="288" spans="5:8" ht="36" x14ac:dyDescent="0.2">
      <c r="E288" s="84"/>
      <c r="H288" s="64" t="str">
        <f t="shared" si="5"/>
        <v xml:space="preserve">/ 
</v>
      </c>
    </row>
    <row r="289" spans="4:8" ht="36" x14ac:dyDescent="0.2">
      <c r="E289" s="84"/>
      <c r="H289" s="64" t="str">
        <f t="shared" si="5"/>
        <v xml:space="preserve">/ 
</v>
      </c>
    </row>
    <row r="290" spans="4:8" ht="36" x14ac:dyDescent="0.2">
      <c r="E290" s="87"/>
      <c r="H290" s="64" t="str">
        <f t="shared" si="5"/>
        <v xml:space="preserve">/ 
</v>
      </c>
    </row>
    <row r="291" spans="4:8" ht="36" x14ac:dyDescent="0.2">
      <c r="E291" s="84"/>
      <c r="H291" s="64" t="str">
        <f t="shared" si="5"/>
        <v xml:space="preserve">/ 
</v>
      </c>
    </row>
    <row r="292" spans="4:8" ht="36" x14ac:dyDescent="0.2">
      <c r="E292" s="84"/>
      <c r="H292" s="64" t="str">
        <f t="shared" si="5"/>
        <v xml:space="preserve">/ 
</v>
      </c>
    </row>
    <row r="293" spans="4:8" ht="36" x14ac:dyDescent="0.2">
      <c r="E293" s="86"/>
      <c r="H293" s="64" t="str">
        <f t="shared" si="5"/>
        <v xml:space="preserve">/ 
</v>
      </c>
    </row>
    <row r="294" spans="4:8" ht="36" x14ac:dyDescent="0.2">
      <c r="E294" s="84"/>
      <c r="H294" s="64" t="str">
        <f t="shared" si="5"/>
        <v xml:space="preserve">/ 
</v>
      </c>
    </row>
    <row r="295" spans="4:8" ht="36" x14ac:dyDescent="0.2">
      <c r="E295" s="84"/>
      <c r="H295" s="64" t="str">
        <f t="shared" si="5"/>
        <v xml:space="preserve">/ 
</v>
      </c>
    </row>
    <row r="296" spans="4:8" ht="36" x14ac:dyDescent="0.2">
      <c r="D296" s="63"/>
      <c r="E296" s="84"/>
      <c r="H296" s="64" t="str">
        <f t="shared" si="5"/>
        <v xml:space="preserve">/ 
</v>
      </c>
    </row>
    <row r="297" spans="4:8" ht="36" x14ac:dyDescent="0.2">
      <c r="E297" s="87"/>
      <c r="H297" s="64" t="str">
        <f t="shared" ref="H297:H360" si="6">UPPER(CONCATENATE(C297,"/ ",A297,CHAR(10),D297,CHAR(10),E297," ",F297,CHAR(10),G297))</f>
        <v xml:space="preserve">/ 
</v>
      </c>
    </row>
    <row r="298" spans="4:8" ht="36" x14ac:dyDescent="0.2">
      <c r="H298" s="64" t="str">
        <f t="shared" si="6"/>
        <v xml:space="preserve">/ 
</v>
      </c>
    </row>
    <row r="299" spans="4:8" ht="36" x14ac:dyDescent="0.2">
      <c r="H299" s="64" t="str">
        <f t="shared" si="6"/>
        <v xml:space="preserve">/ 
</v>
      </c>
    </row>
    <row r="300" spans="4:8" ht="36" x14ac:dyDescent="0.2">
      <c r="H300" s="64" t="str">
        <f t="shared" si="6"/>
        <v xml:space="preserve">/ 
</v>
      </c>
    </row>
    <row r="301" spans="4:8" ht="36" x14ac:dyDescent="0.2">
      <c r="H301" s="64" t="str">
        <f t="shared" si="6"/>
        <v xml:space="preserve">/ 
</v>
      </c>
    </row>
    <row r="302" spans="4:8" ht="36" x14ac:dyDescent="0.2">
      <c r="H302" s="64" t="str">
        <f t="shared" si="6"/>
        <v xml:space="preserve">/ 
</v>
      </c>
    </row>
    <row r="303" spans="4:8" ht="36" x14ac:dyDescent="0.2">
      <c r="H303" s="64" t="str">
        <f t="shared" si="6"/>
        <v xml:space="preserve">/ 
</v>
      </c>
    </row>
    <row r="304" spans="4:8" ht="36" x14ac:dyDescent="0.2">
      <c r="H304" s="64" t="str">
        <f t="shared" si="6"/>
        <v xml:space="preserve">/ 
</v>
      </c>
    </row>
    <row r="305" spans="8:8" ht="36" x14ac:dyDescent="0.2">
      <c r="H305" s="64" t="str">
        <f t="shared" si="6"/>
        <v xml:space="preserve">/ 
</v>
      </c>
    </row>
    <row r="306" spans="8:8" ht="36" x14ac:dyDescent="0.2">
      <c r="H306" s="64" t="str">
        <f t="shared" si="6"/>
        <v xml:space="preserve">/ 
</v>
      </c>
    </row>
    <row r="307" spans="8:8" ht="36" x14ac:dyDescent="0.2">
      <c r="H307" s="64" t="str">
        <f t="shared" si="6"/>
        <v xml:space="preserve">/ 
</v>
      </c>
    </row>
    <row r="308" spans="8:8" ht="36" x14ac:dyDescent="0.2">
      <c r="H308" s="64" t="str">
        <f t="shared" si="6"/>
        <v xml:space="preserve">/ 
</v>
      </c>
    </row>
    <row r="309" spans="8:8" ht="36" x14ac:dyDescent="0.2">
      <c r="H309" s="64" t="str">
        <f t="shared" si="6"/>
        <v xml:space="preserve">/ 
</v>
      </c>
    </row>
    <row r="310" spans="8:8" ht="36" x14ac:dyDescent="0.2">
      <c r="H310" s="64" t="str">
        <f t="shared" si="6"/>
        <v xml:space="preserve">/ 
</v>
      </c>
    </row>
    <row r="311" spans="8:8" ht="36" x14ac:dyDescent="0.2">
      <c r="H311" s="64" t="str">
        <f t="shared" si="6"/>
        <v xml:space="preserve">/ 
</v>
      </c>
    </row>
    <row r="312" spans="8:8" ht="36" x14ac:dyDescent="0.2">
      <c r="H312" s="64" t="str">
        <f t="shared" si="6"/>
        <v xml:space="preserve">/ 
</v>
      </c>
    </row>
    <row r="313" spans="8:8" ht="36" x14ac:dyDescent="0.2">
      <c r="H313" s="64" t="str">
        <f t="shared" si="6"/>
        <v xml:space="preserve">/ 
</v>
      </c>
    </row>
    <row r="314" spans="8:8" ht="36" x14ac:dyDescent="0.2">
      <c r="H314" s="64" t="str">
        <f t="shared" si="6"/>
        <v xml:space="preserve">/ 
</v>
      </c>
    </row>
    <row r="315" spans="8:8" ht="36" x14ac:dyDescent="0.2">
      <c r="H315" s="64" t="str">
        <f t="shared" si="6"/>
        <v xml:space="preserve">/ 
</v>
      </c>
    </row>
    <row r="316" spans="8:8" ht="36" x14ac:dyDescent="0.2">
      <c r="H316" s="64" t="str">
        <f t="shared" si="6"/>
        <v xml:space="preserve">/ 
</v>
      </c>
    </row>
    <row r="317" spans="8:8" ht="36" x14ac:dyDescent="0.2">
      <c r="H317" s="64" t="str">
        <f t="shared" si="6"/>
        <v xml:space="preserve">/ 
</v>
      </c>
    </row>
    <row r="318" spans="8:8" ht="36" x14ac:dyDescent="0.2">
      <c r="H318" s="64" t="str">
        <f t="shared" si="6"/>
        <v xml:space="preserve">/ 
</v>
      </c>
    </row>
    <row r="319" spans="8:8" ht="36" x14ac:dyDescent="0.2">
      <c r="H319" s="64" t="str">
        <f t="shared" si="6"/>
        <v xml:space="preserve">/ 
</v>
      </c>
    </row>
    <row r="320" spans="8:8" ht="36" x14ac:dyDescent="0.2">
      <c r="H320" s="64" t="str">
        <f t="shared" si="6"/>
        <v xml:space="preserve">/ 
</v>
      </c>
    </row>
    <row r="321" spans="8:8" ht="36" x14ac:dyDescent="0.2">
      <c r="H321" s="64" t="str">
        <f t="shared" si="6"/>
        <v xml:space="preserve">/ 
</v>
      </c>
    </row>
    <row r="322" spans="8:8" ht="36" x14ac:dyDescent="0.2">
      <c r="H322" s="64" t="str">
        <f t="shared" si="6"/>
        <v xml:space="preserve">/ 
</v>
      </c>
    </row>
    <row r="323" spans="8:8" ht="36" x14ac:dyDescent="0.2">
      <c r="H323" s="64" t="str">
        <f t="shared" si="6"/>
        <v xml:space="preserve">/ 
</v>
      </c>
    </row>
    <row r="324" spans="8:8" ht="36" x14ac:dyDescent="0.2">
      <c r="H324" s="64" t="str">
        <f t="shared" si="6"/>
        <v xml:space="preserve">/ 
</v>
      </c>
    </row>
    <row r="325" spans="8:8" ht="36" x14ac:dyDescent="0.2">
      <c r="H325" s="64" t="str">
        <f t="shared" si="6"/>
        <v xml:space="preserve">/ 
</v>
      </c>
    </row>
    <row r="326" spans="8:8" ht="36" x14ac:dyDescent="0.2">
      <c r="H326" s="64" t="str">
        <f t="shared" si="6"/>
        <v xml:space="preserve">/ 
</v>
      </c>
    </row>
    <row r="327" spans="8:8" ht="36" x14ac:dyDescent="0.2">
      <c r="H327" s="64" t="str">
        <f t="shared" si="6"/>
        <v xml:space="preserve">/ 
</v>
      </c>
    </row>
    <row r="328" spans="8:8" ht="36" x14ac:dyDescent="0.2">
      <c r="H328" s="64" t="str">
        <f t="shared" si="6"/>
        <v xml:space="preserve">/ 
</v>
      </c>
    </row>
    <row r="329" spans="8:8" ht="36" x14ac:dyDescent="0.2">
      <c r="H329" s="64" t="str">
        <f t="shared" si="6"/>
        <v xml:space="preserve">/ 
</v>
      </c>
    </row>
    <row r="330" spans="8:8" ht="36" x14ac:dyDescent="0.2">
      <c r="H330" s="64" t="str">
        <f t="shared" si="6"/>
        <v xml:space="preserve">/ 
</v>
      </c>
    </row>
    <row r="331" spans="8:8" ht="36" x14ac:dyDescent="0.2">
      <c r="H331" s="64" t="str">
        <f t="shared" si="6"/>
        <v xml:space="preserve">/ 
</v>
      </c>
    </row>
    <row r="332" spans="8:8" ht="36" x14ac:dyDescent="0.2">
      <c r="H332" s="64" t="str">
        <f t="shared" si="6"/>
        <v xml:space="preserve">/ 
</v>
      </c>
    </row>
    <row r="333" spans="8:8" ht="36" x14ac:dyDescent="0.2">
      <c r="H333" s="64" t="str">
        <f t="shared" si="6"/>
        <v xml:space="preserve">/ 
</v>
      </c>
    </row>
    <row r="334" spans="8:8" ht="36" x14ac:dyDescent="0.2">
      <c r="H334" s="64" t="str">
        <f t="shared" si="6"/>
        <v xml:space="preserve">/ 
</v>
      </c>
    </row>
    <row r="335" spans="8:8" ht="36" x14ac:dyDescent="0.2">
      <c r="H335" s="64" t="str">
        <f t="shared" si="6"/>
        <v xml:space="preserve">/ 
</v>
      </c>
    </row>
    <row r="336" spans="8:8" ht="36" x14ac:dyDescent="0.2">
      <c r="H336" s="64" t="str">
        <f t="shared" si="6"/>
        <v xml:space="preserve">/ 
</v>
      </c>
    </row>
    <row r="337" spans="8:8" ht="36" x14ac:dyDescent="0.2">
      <c r="H337" s="64" t="str">
        <f t="shared" si="6"/>
        <v xml:space="preserve">/ 
</v>
      </c>
    </row>
    <row r="338" spans="8:8" ht="36" x14ac:dyDescent="0.2">
      <c r="H338" s="64" t="str">
        <f t="shared" si="6"/>
        <v xml:space="preserve">/ 
</v>
      </c>
    </row>
    <row r="339" spans="8:8" ht="36" x14ac:dyDescent="0.2">
      <c r="H339" s="64" t="str">
        <f t="shared" si="6"/>
        <v xml:space="preserve">/ 
</v>
      </c>
    </row>
    <row r="340" spans="8:8" ht="36" x14ac:dyDescent="0.2">
      <c r="H340" s="64" t="str">
        <f t="shared" si="6"/>
        <v xml:space="preserve">/ 
</v>
      </c>
    </row>
    <row r="341" spans="8:8" ht="36" x14ac:dyDescent="0.2">
      <c r="H341" s="64" t="str">
        <f t="shared" si="6"/>
        <v xml:space="preserve">/ 
</v>
      </c>
    </row>
    <row r="342" spans="8:8" ht="36" x14ac:dyDescent="0.2">
      <c r="H342" s="64" t="str">
        <f t="shared" si="6"/>
        <v xml:space="preserve">/ 
</v>
      </c>
    </row>
    <row r="343" spans="8:8" ht="36" x14ac:dyDescent="0.2">
      <c r="H343" s="64" t="str">
        <f t="shared" si="6"/>
        <v xml:space="preserve">/ 
</v>
      </c>
    </row>
    <row r="344" spans="8:8" ht="36" x14ac:dyDescent="0.2">
      <c r="H344" s="64" t="str">
        <f t="shared" si="6"/>
        <v xml:space="preserve">/ 
</v>
      </c>
    </row>
    <row r="345" spans="8:8" ht="36" x14ac:dyDescent="0.2">
      <c r="H345" s="64" t="str">
        <f t="shared" si="6"/>
        <v xml:space="preserve">/ 
</v>
      </c>
    </row>
    <row r="346" spans="8:8" ht="36" x14ac:dyDescent="0.2">
      <c r="H346" s="64" t="str">
        <f t="shared" si="6"/>
        <v xml:space="preserve">/ 
</v>
      </c>
    </row>
    <row r="347" spans="8:8" ht="36" x14ac:dyDescent="0.2">
      <c r="H347" s="64" t="str">
        <f t="shared" si="6"/>
        <v xml:space="preserve">/ 
</v>
      </c>
    </row>
    <row r="348" spans="8:8" ht="36" x14ac:dyDescent="0.2">
      <c r="H348" s="64" t="str">
        <f t="shared" si="6"/>
        <v xml:space="preserve">/ 
</v>
      </c>
    </row>
    <row r="349" spans="8:8" ht="36" x14ac:dyDescent="0.2">
      <c r="H349" s="64" t="str">
        <f t="shared" si="6"/>
        <v xml:space="preserve">/ 
</v>
      </c>
    </row>
    <row r="350" spans="8:8" ht="36" x14ac:dyDescent="0.2">
      <c r="H350" s="64" t="str">
        <f t="shared" si="6"/>
        <v xml:space="preserve">/ 
</v>
      </c>
    </row>
    <row r="351" spans="8:8" ht="36" x14ac:dyDescent="0.2">
      <c r="H351" s="64" t="str">
        <f t="shared" si="6"/>
        <v xml:space="preserve">/ 
</v>
      </c>
    </row>
    <row r="352" spans="8:8" ht="36" x14ac:dyDescent="0.2">
      <c r="H352" s="64" t="str">
        <f t="shared" si="6"/>
        <v xml:space="preserve">/ 
</v>
      </c>
    </row>
    <row r="353" spans="8:8" ht="36" x14ac:dyDescent="0.2">
      <c r="H353" s="64" t="str">
        <f t="shared" si="6"/>
        <v xml:space="preserve">/ 
</v>
      </c>
    </row>
    <row r="354" spans="8:8" ht="36" x14ac:dyDescent="0.2">
      <c r="H354" s="64" t="str">
        <f t="shared" si="6"/>
        <v xml:space="preserve">/ 
</v>
      </c>
    </row>
    <row r="355" spans="8:8" ht="36" x14ac:dyDescent="0.2">
      <c r="H355" s="64" t="str">
        <f t="shared" si="6"/>
        <v xml:space="preserve">/ 
</v>
      </c>
    </row>
    <row r="356" spans="8:8" ht="36" x14ac:dyDescent="0.2">
      <c r="H356" s="64" t="str">
        <f t="shared" si="6"/>
        <v xml:space="preserve">/ 
</v>
      </c>
    </row>
    <row r="357" spans="8:8" ht="36" x14ac:dyDescent="0.2">
      <c r="H357" s="64" t="str">
        <f t="shared" si="6"/>
        <v xml:space="preserve">/ 
</v>
      </c>
    </row>
    <row r="358" spans="8:8" ht="36" x14ac:dyDescent="0.2">
      <c r="H358" s="64" t="str">
        <f t="shared" si="6"/>
        <v xml:space="preserve">/ 
</v>
      </c>
    </row>
    <row r="359" spans="8:8" ht="36" x14ac:dyDescent="0.2">
      <c r="H359" s="64" t="str">
        <f t="shared" si="6"/>
        <v xml:space="preserve">/ 
</v>
      </c>
    </row>
    <row r="360" spans="8:8" ht="36" x14ac:dyDescent="0.2">
      <c r="H360" s="64" t="str">
        <f t="shared" si="6"/>
        <v xml:space="preserve">/ 
</v>
      </c>
    </row>
    <row r="361" spans="8:8" ht="36" x14ac:dyDescent="0.2">
      <c r="H361" s="64" t="str">
        <f t="shared" ref="H361:H424" si="7">UPPER(CONCATENATE(C361,"/ ",A361,CHAR(10),D361,CHAR(10),E361," ",F361,CHAR(10),G361))</f>
        <v xml:space="preserve">/ 
</v>
      </c>
    </row>
    <row r="362" spans="8:8" ht="36" x14ac:dyDescent="0.2">
      <c r="H362" s="64" t="str">
        <f t="shared" si="7"/>
        <v xml:space="preserve">/ 
</v>
      </c>
    </row>
    <row r="363" spans="8:8" ht="36" x14ac:dyDescent="0.2">
      <c r="H363" s="64" t="str">
        <f t="shared" si="7"/>
        <v xml:space="preserve">/ 
</v>
      </c>
    </row>
    <row r="364" spans="8:8" ht="36" x14ac:dyDescent="0.2">
      <c r="H364" s="64" t="str">
        <f t="shared" si="7"/>
        <v xml:space="preserve">/ 
</v>
      </c>
    </row>
    <row r="365" spans="8:8" ht="36" x14ac:dyDescent="0.2">
      <c r="H365" s="64" t="str">
        <f t="shared" si="7"/>
        <v xml:space="preserve">/ 
</v>
      </c>
    </row>
    <row r="366" spans="8:8" ht="36" x14ac:dyDescent="0.2">
      <c r="H366" s="64" t="str">
        <f t="shared" si="7"/>
        <v xml:space="preserve">/ 
</v>
      </c>
    </row>
    <row r="367" spans="8:8" ht="36" x14ac:dyDescent="0.2">
      <c r="H367" s="64" t="str">
        <f t="shared" si="7"/>
        <v xml:space="preserve">/ 
</v>
      </c>
    </row>
    <row r="368" spans="8:8" ht="36" x14ac:dyDescent="0.2">
      <c r="H368" s="64" t="str">
        <f t="shared" si="7"/>
        <v xml:space="preserve">/ 
</v>
      </c>
    </row>
    <row r="369" spans="8:8" ht="36" x14ac:dyDescent="0.2">
      <c r="H369" s="64" t="str">
        <f t="shared" si="7"/>
        <v xml:space="preserve">/ 
</v>
      </c>
    </row>
    <row r="370" spans="8:8" ht="36" x14ac:dyDescent="0.2">
      <c r="H370" s="64" t="str">
        <f t="shared" si="7"/>
        <v xml:space="preserve">/ 
</v>
      </c>
    </row>
    <row r="371" spans="8:8" ht="36" x14ac:dyDescent="0.2">
      <c r="H371" s="64" t="str">
        <f t="shared" si="7"/>
        <v xml:space="preserve">/ 
</v>
      </c>
    </row>
    <row r="372" spans="8:8" ht="36" x14ac:dyDescent="0.2">
      <c r="H372" s="64" t="str">
        <f t="shared" si="7"/>
        <v xml:space="preserve">/ 
</v>
      </c>
    </row>
    <row r="373" spans="8:8" ht="36" x14ac:dyDescent="0.2">
      <c r="H373" s="64" t="str">
        <f t="shared" si="7"/>
        <v xml:space="preserve">/ 
</v>
      </c>
    </row>
    <row r="374" spans="8:8" ht="36" x14ac:dyDescent="0.2">
      <c r="H374" s="64" t="str">
        <f t="shared" si="7"/>
        <v xml:space="preserve">/ 
</v>
      </c>
    </row>
    <row r="375" spans="8:8" ht="36" x14ac:dyDescent="0.2">
      <c r="H375" s="64" t="str">
        <f t="shared" si="7"/>
        <v xml:space="preserve">/ 
</v>
      </c>
    </row>
    <row r="376" spans="8:8" ht="36" x14ac:dyDescent="0.2">
      <c r="H376" s="64" t="str">
        <f t="shared" si="7"/>
        <v xml:space="preserve">/ 
</v>
      </c>
    </row>
    <row r="377" spans="8:8" ht="36" x14ac:dyDescent="0.2">
      <c r="H377" s="64" t="str">
        <f t="shared" si="7"/>
        <v xml:space="preserve">/ 
</v>
      </c>
    </row>
    <row r="378" spans="8:8" ht="36" x14ac:dyDescent="0.2">
      <c r="H378" s="64" t="str">
        <f t="shared" si="7"/>
        <v xml:space="preserve">/ 
</v>
      </c>
    </row>
    <row r="379" spans="8:8" ht="36" x14ac:dyDescent="0.2">
      <c r="H379" s="64" t="str">
        <f t="shared" si="7"/>
        <v xml:space="preserve">/ 
</v>
      </c>
    </row>
    <row r="380" spans="8:8" ht="36" x14ac:dyDescent="0.2">
      <c r="H380" s="64" t="str">
        <f t="shared" si="7"/>
        <v xml:space="preserve">/ 
</v>
      </c>
    </row>
    <row r="381" spans="8:8" ht="36" x14ac:dyDescent="0.2">
      <c r="H381" s="64" t="str">
        <f t="shared" si="7"/>
        <v xml:space="preserve">/ 
</v>
      </c>
    </row>
    <row r="382" spans="8:8" ht="36" x14ac:dyDescent="0.2">
      <c r="H382" s="64" t="str">
        <f t="shared" si="7"/>
        <v xml:space="preserve">/ 
</v>
      </c>
    </row>
    <row r="383" spans="8:8" ht="36" x14ac:dyDescent="0.2">
      <c r="H383" s="64" t="str">
        <f t="shared" si="7"/>
        <v xml:space="preserve">/ 
</v>
      </c>
    </row>
    <row r="384" spans="8:8" ht="36" x14ac:dyDescent="0.2">
      <c r="H384" s="64" t="str">
        <f t="shared" si="7"/>
        <v xml:space="preserve">/ 
</v>
      </c>
    </row>
    <row r="385" spans="8:8" ht="36" x14ac:dyDescent="0.2">
      <c r="H385" s="64" t="str">
        <f t="shared" si="7"/>
        <v xml:space="preserve">/ 
</v>
      </c>
    </row>
    <row r="386" spans="8:8" ht="36" x14ac:dyDescent="0.2">
      <c r="H386" s="64" t="str">
        <f t="shared" si="7"/>
        <v xml:space="preserve">/ 
</v>
      </c>
    </row>
    <row r="387" spans="8:8" ht="36" x14ac:dyDescent="0.2">
      <c r="H387" s="64" t="str">
        <f t="shared" si="7"/>
        <v xml:space="preserve">/ 
</v>
      </c>
    </row>
    <row r="388" spans="8:8" ht="36" x14ac:dyDescent="0.2">
      <c r="H388" s="64" t="str">
        <f t="shared" si="7"/>
        <v xml:space="preserve">/ 
</v>
      </c>
    </row>
    <row r="389" spans="8:8" ht="36" x14ac:dyDescent="0.2">
      <c r="H389" s="64" t="str">
        <f t="shared" si="7"/>
        <v xml:space="preserve">/ 
</v>
      </c>
    </row>
    <row r="390" spans="8:8" ht="36" x14ac:dyDescent="0.2">
      <c r="H390" s="64" t="str">
        <f t="shared" si="7"/>
        <v xml:space="preserve">/ 
</v>
      </c>
    </row>
    <row r="391" spans="8:8" ht="36" x14ac:dyDescent="0.2">
      <c r="H391" s="64" t="str">
        <f t="shared" si="7"/>
        <v xml:space="preserve">/ 
</v>
      </c>
    </row>
    <row r="392" spans="8:8" ht="36" x14ac:dyDescent="0.2">
      <c r="H392" s="64" t="str">
        <f t="shared" si="7"/>
        <v xml:space="preserve">/ 
</v>
      </c>
    </row>
    <row r="393" spans="8:8" ht="36" x14ac:dyDescent="0.2">
      <c r="H393" s="64" t="str">
        <f t="shared" si="7"/>
        <v xml:space="preserve">/ 
</v>
      </c>
    </row>
    <row r="394" spans="8:8" ht="36" x14ac:dyDescent="0.2">
      <c r="H394" s="64" t="str">
        <f t="shared" si="7"/>
        <v xml:space="preserve">/ 
</v>
      </c>
    </row>
    <row r="395" spans="8:8" ht="36" x14ac:dyDescent="0.2">
      <c r="H395" s="64" t="str">
        <f t="shared" si="7"/>
        <v xml:space="preserve">/ 
</v>
      </c>
    </row>
    <row r="396" spans="8:8" ht="36" x14ac:dyDescent="0.2">
      <c r="H396" s="64" t="str">
        <f t="shared" si="7"/>
        <v xml:space="preserve">/ 
</v>
      </c>
    </row>
    <row r="397" spans="8:8" ht="36" x14ac:dyDescent="0.2">
      <c r="H397" s="64" t="str">
        <f t="shared" si="7"/>
        <v xml:space="preserve">/ 
</v>
      </c>
    </row>
    <row r="398" spans="8:8" ht="36" x14ac:dyDescent="0.2">
      <c r="H398" s="64" t="str">
        <f t="shared" si="7"/>
        <v xml:space="preserve">/ 
</v>
      </c>
    </row>
    <row r="399" spans="8:8" ht="36" x14ac:dyDescent="0.2">
      <c r="H399" s="64" t="str">
        <f t="shared" si="7"/>
        <v xml:space="preserve">/ 
</v>
      </c>
    </row>
    <row r="400" spans="8:8" ht="36" x14ac:dyDescent="0.2">
      <c r="H400" s="64" t="str">
        <f t="shared" si="7"/>
        <v xml:space="preserve">/ 
</v>
      </c>
    </row>
    <row r="401" spans="8:8" ht="36" x14ac:dyDescent="0.2">
      <c r="H401" s="64" t="str">
        <f t="shared" si="7"/>
        <v xml:space="preserve">/ 
</v>
      </c>
    </row>
    <row r="402" spans="8:8" ht="36" x14ac:dyDescent="0.2">
      <c r="H402" s="64" t="str">
        <f t="shared" si="7"/>
        <v xml:space="preserve">/ 
</v>
      </c>
    </row>
    <row r="403" spans="8:8" ht="36" x14ac:dyDescent="0.2">
      <c r="H403" s="64" t="str">
        <f t="shared" si="7"/>
        <v xml:space="preserve">/ 
</v>
      </c>
    </row>
    <row r="404" spans="8:8" ht="36" x14ac:dyDescent="0.2">
      <c r="H404" s="64" t="str">
        <f t="shared" si="7"/>
        <v xml:space="preserve">/ 
</v>
      </c>
    </row>
    <row r="405" spans="8:8" ht="36" x14ac:dyDescent="0.2">
      <c r="H405" s="64" t="str">
        <f t="shared" si="7"/>
        <v xml:space="preserve">/ 
</v>
      </c>
    </row>
    <row r="406" spans="8:8" ht="36" x14ac:dyDescent="0.2">
      <c r="H406" s="64" t="str">
        <f t="shared" si="7"/>
        <v xml:space="preserve">/ 
</v>
      </c>
    </row>
    <row r="407" spans="8:8" ht="36" x14ac:dyDescent="0.2">
      <c r="H407" s="64" t="str">
        <f t="shared" si="7"/>
        <v xml:space="preserve">/ 
</v>
      </c>
    </row>
    <row r="408" spans="8:8" ht="36" x14ac:dyDescent="0.2">
      <c r="H408" s="64" t="str">
        <f t="shared" si="7"/>
        <v xml:space="preserve">/ 
</v>
      </c>
    </row>
    <row r="409" spans="8:8" ht="36" x14ac:dyDescent="0.2">
      <c r="H409" s="64" t="str">
        <f t="shared" si="7"/>
        <v xml:space="preserve">/ 
</v>
      </c>
    </row>
    <row r="410" spans="8:8" ht="36" x14ac:dyDescent="0.2">
      <c r="H410" s="64" t="str">
        <f t="shared" si="7"/>
        <v xml:space="preserve">/ 
</v>
      </c>
    </row>
    <row r="411" spans="8:8" ht="36" x14ac:dyDescent="0.2">
      <c r="H411" s="64" t="str">
        <f t="shared" si="7"/>
        <v xml:space="preserve">/ 
</v>
      </c>
    </row>
    <row r="412" spans="8:8" ht="36" x14ac:dyDescent="0.2">
      <c r="H412" s="64" t="str">
        <f t="shared" si="7"/>
        <v xml:space="preserve">/ 
</v>
      </c>
    </row>
    <row r="413" spans="8:8" ht="36" x14ac:dyDescent="0.2">
      <c r="H413" s="64" t="str">
        <f t="shared" si="7"/>
        <v xml:space="preserve">/ 
</v>
      </c>
    </row>
    <row r="414" spans="8:8" ht="36" x14ac:dyDescent="0.2">
      <c r="H414" s="64" t="str">
        <f t="shared" si="7"/>
        <v xml:space="preserve">/ 
</v>
      </c>
    </row>
    <row r="415" spans="8:8" ht="36" x14ac:dyDescent="0.2">
      <c r="H415" s="64" t="str">
        <f t="shared" si="7"/>
        <v xml:space="preserve">/ 
</v>
      </c>
    </row>
    <row r="416" spans="8:8" ht="36" x14ac:dyDescent="0.2">
      <c r="H416" s="64" t="str">
        <f t="shared" si="7"/>
        <v xml:space="preserve">/ 
</v>
      </c>
    </row>
    <row r="417" spans="8:8" ht="36" x14ac:dyDescent="0.2">
      <c r="H417" s="64" t="str">
        <f t="shared" si="7"/>
        <v xml:space="preserve">/ 
</v>
      </c>
    </row>
    <row r="418" spans="8:8" ht="36" x14ac:dyDescent="0.2">
      <c r="H418" s="64" t="str">
        <f t="shared" si="7"/>
        <v xml:space="preserve">/ 
</v>
      </c>
    </row>
    <row r="419" spans="8:8" ht="36" x14ac:dyDescent="0.2">
      <c r="H419" s="64" t="str">
        <f t="shared" si="7"/>
        <v xml:space="preserve">/ 
</v>
      </c>
    </row>
    <row r="420" spans="8:8" ht="36" x14ac:dyDescent="0.2">
      <c r="H420" s="64" t="str">
        <f t="shared" si="7"/>
        <v xml:space="preserve">/ 
</v>
      </c>
    </row>
    <row r="421" spans="8:8" ht="36" x14ac:dyDescent="0.2">
      <c r="H421" s="64" t="str">
        <f t="shared" si="7"/>
        <v xml:space="preserve">/ 
</v>
      </c>
    </row>
    <row r="422" spans="8:8" ht="36" x14ac:dyDescent="0.2">
      <c r="H422" s="64" t="str">
        <f t="shared" si="7"/>
        <v xml:space="preserve">/ 
</v>
      </c>
    </row>
    <row r="423" spans="8:8" ht="36" x14ac:dyDescent="0.2">
      <c r="H423" s="64" t="str">
        <f t="shared" si="7"/>
        <v xml:space="preserve">/ 
</v>
      </c>
    </row>
    <row r="424" spans="8:8" ht="36" x14ac:dyDescent="0.2">
      <c r="H424" s="64" t="str">
        <f t="shared" si="7"/>
        <v xml:space="preserve">/ 
</v>
      </c>
    </row>
    <row r="425" spans="8:8" ht="36" x14ac:dyDescent="0.2">
      <c r="H425" s="64" t="str">
        <f t="shared" ref="H425:H488" si="8">UPPER(CONCATENATE(C425,"/ ",A425,CHAR(10),D425,CHAR(10),E425," ",F425,CHAR(10),G425))</f>
        <v xml:space="preserve">/ 
</v>
      </c>
    </row>
    <row r="426" spans="8:8" ht="36" x14ac:dyDescent="0.2">
      <c r="H426" s="64" t="str">
        <f t="shared" si="8"/>
        <v xml:space="preserve">/ 
</v>
      </c>
    </row>
    <row r="427" spans="8:8" ht="36" x14ac:dyDescent="0.2">
      <c r="H427" s="64" t="str">
        <f t="shared" si="8"/>
        <v xml:space="preserve">/ 
</v>
      </c>
    </row>
    <row r="428" spans="8:8" ht="36" x14ac:dyDescent="0.2">
      <c r="H428" s="64" t="str">
        <f t="shared" si="8"/>
        <v xml:space="preserve">/ 
</v>
      </c>
    </row>
    <row r="429" spans="8:8" ht="36" x14ac:dyDescent="0.2">
      <c r="H429" s="64" t="str">
        <f t="shared" si="8"/>
        <v xml:space="preserve">/ 
</v>
      </c>
    </row>
    <row r="430" spans="8:8" ht="36" x14ac:dyDescent="0.2">
      <c r="H430" s="64" t="str">
        <f t="shared" si="8"/>
        <v xml:space="preserve">/ 
</v>
      </c>
    </row>
    <row r="431" spans="8:8" ht="36" x14ac:dyDescent="0.2">
      <c r="H431" s="64" t="str">
        <f t="shared" si="8"/>
        <v xml:space="preserve">/ 
</v>
      </c>
    </row>
    <row r="432" spans="8:8" ht="36" x14ac:dyDescent="0.2">
      <c r="H432" s="64" t="str">
        <f t="shared" si="8"/>
        <v xml:space="preserve">/ 
</v>
      </c>
    </row>
    <row r="433" spans="8:8" ht="36" x14ac:dyDescent="0.2">
      <c r="H433" s="64" t="str">
        <f t="shared" si="8"/>
        <v xml:space="preserve">/ 
</v>
      </c>
    </row>
    <row r="434" spans="8:8" ht="36" x14ac:dyDescent="0.2">
      <c r="H434" s="64" t="str">
        <f t="shared" si="8"/>
        <v xml:space="preserve">/ 
</v>
      </c>
    </row>
    <row r="435" spans="8:8" ht="36" x14ac:dyDescent="0.2">
      <c r="H435" s="64" t="str">
        <f t="shared" si="8"/>
        <v xml:space="preserve">/ 
</v>
      </c>
    </row>
    <row r="436" spans="8:8" ht="36" x14ac:dyDescent="0.2">
      <c r="H436" s="64" t="str">
        <f t="shared" si="8"/>
        <v xml:space="preserve">/ 
</v>
      </c>
    </row>
    <row r="437" spans="8:8" ht="36" x14ac:dyDescent="0.2">
      <c r="H437" s="64" t="str">
        <f t="shared" si="8"/>
        <v xml:space="preserve">/ 
</v>
      </c>
    </row>
    <row r="438" spans="8:8" ht="36" x14ac:dyDescent="0.2">
      <c r="H438" s="64" t="str">
        <f t="shared" si="8"/>
        <v xml:space="preserve">/ 
</v>
      </c>
    </row>
    <row r="439" spans="8:8" ht="36" x14ac:dyDescent="0.2">
      <c r="H439" s="64" t="str">
        <f t="shared" si="8"/>
        <v xml:space="preserve">/ 
</v>
      </c>
    </row>
    <row r="440" spans="8:8" ht="36" x14ac:dyDescent="0.2">
      <c r="H440" s="64" t="str">
        <f t="shared" si="8"/>
        <v xml:space="preserve">/ 
</v>
      </c>
    </row>
    <row r="441" spans="8:8" ht="36" x14ac:dyDescent="0.2">
      <c r="H441" s="64" t="str">
        <f t="shared" si="8"/>
        <v xml:space="preserve">/ 
</v>
      </c>
    </row>
    <row r="442" spans="8:8" ht="36" x14ac:dyDescent="0.2">
      <c r="H442" s="64" t="str">
        <f t="shared" si="8"/>
        <v xml:space="preserve">/ 
</v>
      </c>
    </row>
    <row r="443" spans="8:8" ht="36" x14ac:dyDescent="0.2">
      <c r="H443" s="64" t="str">
        <f t="shared" si="8"/>
        <v xml:space="preserve">/ 
</v>
      </c>
    </row>
    <row r="444" spans="8:8" ht="36" x14ac:dyDescent="0.2">
      <c r="H444" s="64" t="str">
        <f t="shared" si="8"/>
        <v xml:space="preserve">/ 
</v>
      </c>
    </row>
    <row r="445" spans="8:8" ht="36" x14ac:dyDescent="0.2">
      <c r="H445" s="64" t="str">
        <f t="shared" si="8"/>
        <v xml:space="preserve">/ 
</v>
      </c>
    </row>
    <row r="446" spans="8:8" ht="36" x14ac:dyDescent="0.2">
      <c r="H446" s="64" t="str">
        <f t="shared" si="8"/>
        <v xml:space="preserve">/ 
</v>
      </c>
    </row>
    <row r="447" spans="8:8" ht="36" x14ac:dyDescent="0.2">
      <c r="H447" s="64" t="str">
        <f t="shared" si="8"/>
        <v xml:space="preserve">/ 
</v>
      </c>
    </row>
    <row r="448" spans="8:8" ht="36" x14ac:dyDescent="0.2">
      <c r="H448" s="64" t="str">
        <f t="shared" si="8"/>
        <v xml:space="preserve">/ 
</v>
      </c>
    </row>
    <row r="449" spans="8:8" ht="36" x14ac:dyDescent="0.2">
      <c r="H449" s="64" t="str">
        <f t="shared" si="8"/>
        <v xml:space="preserve">/ 
</v>
      </c>
    </row>
    <row r="450" spans="8:8" ht="36" x14ac:dyDescent="0.2">
      <c r="H450" s="64" t="str">
        <f t="shared" si="8"/>
        <v xml:space="preserve">/ 
</v>
      </c>
    </row>
    <row r="451" spans="8:8" ht="36" x14ac:dyDescent="0.2">
      <c r="H451" s="64" t="str">
        <f t="shared" si="8"/>
        <v xml:space="preserve">/ 
</v>
      </c>
    </row>
    <row r="452" spans="8:8" ht="36" x14ac:dyDescent="0.2">
      <c r="H452" s="64" t="str">
        <f t="shared" si="8"/>
        <v xml:space="preserve">/ 
</v>
      </c>
    </row>
    <row r="453" spans="8:8" ht="36" x14ac:dyDescent="0.2">
      <c r="H453" s="64" t="str">
        <f t="shared" si="8"/>
        <v xml:space="preserve">/ 
</v>
      </c>
    </row>
    <row r="454" spans="8:8" ht="36" x14ac:dyDescent="0.2">
      <c r="H454" s="64" t="str">
        <f t="shared" si="8"/>
        <v xml:space="preserve">/ 
</v>
      </c>
    </row>
    <row r="455" spans="8:8" ht="36" x14ac:dyDescent="0.2">
      <c r="H455" s="64" t="str">
        <f t="shared" si="8"/>
        <v xml:space="preserve">/ 
</v>
      </c>
    </row>
    <row r="456" spans="8:8" ht="36" x14ac:dyDescent="0.2">
      <c r="H456" s="64" t="str">
        <f t="shared" si="8"/>
        <v xml:space="preserve">/ 
</v>
      </c>
    </row>
    <row r="457" spans="8:8" ht="36" x14ac:dyDescent="0.2">
      <c r="H457" s="64" t="str">
        <f t="shared" si="8"/>
        <v xml:space="preserve">/ 
</v>
      </c>
    </row>
    <row r="458" spans="8:8" ht="36" x14ac:dyDescent="0.2">
      <c r="H458" s="64" t="str">
        <f t="shared" si="8"/>
        <v xml:space="preserve">/ 
</v>
      </c>
    </row>
    <row r="459" spans="8:8" ht="36" x14ac:dyDescent="0.2">
      <c r="H459" s="64" t="str">
        <f t="shared" si="8"/>
        <v xml:space="preserve">/ 
</v>
      </c>
    </row>
    <row r="460" spans="8:8" ht="36" x14ac:dyDescent="0.2">
      <c r="H460" s="64" t="str">
        <f t="shared" si="8"/>
        <v xml:space="preserve">/ 
</v>
      </c>
    </row>
    <row r="461" spans="8:8" ht="36" x14ac:dyDescent="0.2">
      <c r="H461" s="64" t="str">
        <f t="shared" si="8"/>
        <v xml:space="preserve">/ 
</v>
      </c>
    </row>
    <row r="462" spans="8:8" ht="36" x14ac:dyDescent="0.2">
      <c r="H462" s="64" t="str">
        <f t="shared" si="8"/>
        <v xml:space="preserve">/ 
</v>
      </c>
    </row>
    <row r="463" spans="8:8" ht="36" x14ac:dyDescent="0.2">
      <c r="H463" s="64" t="str">
        <f t="shared" si="8"/>
        <v xml:space="preserve">/ 
</v>
      </c>
    </row>
    <row r="464" spans="8:8" ht="36" x14ac:dyDescent="0.2">
      <c r="H464" s="64" t="str">
        <f t="shared" si="8"/>
        <v xml:space="preserve">/ 
</v>
      </c>
    </row>
    <row r="465" spans="8:8" ht="36" x14ac:dyDescent="0.2">
      <c r="H465" s="64" t="str">
        <f t="shared" si="8"/>
        <v xml:space="preserve">/ 
</v>
      </c>
    </row>
    <row r="466" spans="8:8" ht="36" x14ac:dyDescent="0.2">
      <c r="H466" s="64" t="str">
        <f t="shared" si="8"/>
        <v xml:space="preserve">/ 
</v>
      </c>
    </row>
    <row r="467" spans="8:8" ht="36" x14ac:dyDescent="0.2">
      <c r="H467" s="64" t="str">
        <f t="shared" si="8"/>
        <v xml:space="preserve">/ 
</v>
      </c>
    </row>
    <row r="468" spans="8:8" ht="36" x14ac:dyDescent="0.2">
      <c r="H468" s="64" t="str">
        <f t="shared" si="8"/>
        <v xml:space="preserve">/ 
</v>
      </c>
    </row>
    <row r="469" spans="8:8" ht="36" x14ac:dyDescent="0.2">
      <c r="H469" s="64" t="str">
        <f t="shared" si="8"/>
        <v xml:space="preserve">/ 
</v>
      </c>
    </row>
    <row r="470" spans="8:8" ht="36" x14ac:dyDescent="0.2">
      <c r="H470" s="64" t="str">
        <f t="shared" si="8"/>
        <v xml:space="preserve">/ 
</v>
      </c>
    </row>
    <row r="471" spans="8:8" ht="36" x14ac:dyDescent="0.2">
      <c r="H471" s="64" t="str">
        <f t="shared" si="8"/>
        <v xml:space="preserve">/ 
</v>
      </c>
    </row>
    <row r="472" spans="8:8" ht="36" x14ac:dyDescent="0.2">
      <c r="H472" s="64" t="str">
        <f t="shared" si="8"/>
        <v xml:space="preserve">/ 
</v>
      </c>
    </row>
    <row r="473" spans="8:8" ht="36" x14ac:dyDescent="0.2">
      <c r="H473" s="64" t="str">
        <f t="shared" si="8"/>
        <v xml:space="preserve">/ 
</v>
      </c>
    </row>
    <row r="474" spans="8:8" ht="36" x14ac:dyDescent="0.2">
      <c r="H474" s="64" t="str">
        <f t="shared" si="8"/>
        <v xml:space="preserve">/ 
</v>
      </c>
    </row>
    <row r="475" spans="8:8" ht="36" x14ac:dyDescent="0.2">
      <c r="H475" s="64" t="str">
        <f t="shared" si="8"/>
        <v xml:space="preserve">/ 
</v>
      </c>
    </row>
    <row r="476" spans="8:8" ht="36" x14ac:dyDescent="0.2">
      <c r="H476" s="64" t="str">
        <f t="shared" si="8"/>
        <v xml:space="preserve">/ 
</v>
      </c>
    </row>
    <row r="477" spans="8:8" ht="36" x14ac:dyDescent="0.2">
      <c r="H477" s="64" t="str">
        <f t="shared" si="8"/>
        <v xml:space="preserve">/ 
</v>
      </c>
    </row>
    <row r="478" spans="8:8" ht="36" x14ac:dyDescent="0.2">
      <c r="H478" s="64" t="str">
        <f t="shared" si="8"/>
        <v xml:space="preserve">/ 
</v>
      </c>
    </row>
    <row r="479" spans="8:8" ht="36" x14ac:dyDescent="0.2">
      <c r="H479" s="64" t="str">
        <f t="shared" si="8"/>
        <v xml:space="preserve">/ 
</v>
      </c>
    </row>
    <row r="480" spans="8:8" ht="36" x14ac:dyDescent="0.2">
      <c r="H480" s="64" t="str">
        <f t="shared" si="8"/>
        <v xml:space="preserve">/ 
</v>
      </c>
    </row>
    <row r="481" spans="8:8" ht="36" x14ac:dyDescent="0.2">
      <c r="H481" s="64" t="str">
        <f t="shared" si="8"/>
        <v xml:space="preserve">/ 
</v>
      </c>
    </row>
    <row r="482" spans="8:8" ht="36" x14ac:dyDescent="0.2">
      <c r="H482" s="64" t="str">
        <f t="shared" si="8"/>
        <v xml:space="preserve">/ 
</v>
      </c>
    </row>
    <row r="483" spans="8:8" ht="36" x14ac:dyDescent="0.2">
      <c r="H483" s="64" t="str">
        <f t="shared" si="8"/>
        <v xml:space="preserve">/ 
</v>
      </c>
    </row>
    <row r="484" spans="8:8" ht="36" x14ac:dyDescent="0.2">
      <c r="H484" s="64" t="str">
        <f t="shared" si="8"/>
        <v xml:space="preserve">/ 
</v>
      </c>
    </row>
    <row r="485" spans="8:8" ht="36" x14ac:dyDescent="0.2">
      <c r="H485" s="64" t="str">
        <f t="shared" si="8"/>
        <v xml:space="preserve">/ 
</v>
      </c>
    </row>
    <row r="486" spans="8:8" ht="36" x14ac:dyDescent="0.2">
      <c r="H486" s="64" t="str">
        <f t="shared" si="8"/>
        <v xml:space="preserve">/ 
</v>
      </c>
    </row>
    <row r="487" spans="8:8" ht="36" x14ac:dyDescent="0.2">
      <c r="H487" s="64" t="str">
        <f t="shared" si="8"/>
        <v xml:space="preserve">/ 
</v>
      </c>
    </row>
    <row r="488" spans="8:8" ht="36" x14ac:dyDescent="0.2">
      <c r="H488" s="64" t="str">
        <f t="shared" si="8"/>
        <v xml:space="preserve">/ 
</v>
      </c>
    </row>
    <row r="489" spans="8:8" ht="36" x14ac:dyDescent="0.2">
      <c r="H489" s="64" t="str">
        <f t="shared" ref="H489:H513" si="9">UPPER(CONCATENATE(C489,"/ ",A489,CHAR(10),D489,CHAR(10),E489," ",F489,CHAR(10),G489))</f>
        <v xml:space="preserve">/ 
</v>
      </c>
    </row>
    <row r="490" spans="8:8" ht="36" x14ac:dyDescent="0.2">
      <c r="H490" s="64" t="str">
        <f t="shared" si="9"/>
        <v xml:space="preserve">/ 
</v>
      </c>
    </row>
    <row r="491" spans="8:8" ht="36" x14ac:dyDescent="0.2">
      <c r="H491" s="64" t="str">
        <f t="shared" si="9"/>
        <v xml:space="preserve">/ 
</v>
      </c>
    </row>
    <row r="492" spans="8:8" ht="36" x14ac:dyDescent="0.2">
      <c r="H492" s="64" t="str">
        <f t="shared" si="9"/>
        <v xml:space="preserve">/ 
</v>
      </c>
    </row>
    <row r="493" spans="8:8" ht="36" x14ac:dyDescent="0.2">
      <c r="H493" s="64" t="str">
        <f t="shared" si="9"/>
        <v xml:space="preserve">/ 
</v>
      </c>
    </row>
    <row r="494" spans="8:8" ht="36" x14ac:dyDescent="0.2">
      <c r="H494" s="64" t="str">
        <f t="shared" si="9"/>
        <v xml:space="preserve">/ 
</v>
      </c>
    </row>
    <row r="495" spans="8:8" ht="36" x14ac:dyDescent="0.2">
      <c r="H495" s="64" t="str">
        <f t="shared" si="9"/>
        <v xml:space="preserve">/ 
</v>
      </c>
    </row>
    <row r="496" spans="8:8" ht="36" x14ac:dyDescent="0.2">
      <c r="H496" s="64" t="str">
        <f t="shared" si="9"/>
        <v xml:space="preserve">/ 
</v>
      </c>
    </row>
    <row r="497" spans="8:8" ht="36" x14ac:dyDescent="0.2">
      <c r="H497" s="64" t="str">
        <f t="shared" si="9"/>
        <v xml:space="preserve">/ 
</v>
      </c>
    </row>
    <row r="498" spans="8:8" ht="36" x14ac:dyDescent="0.2">
      <c r="H498" s="64" t="str">
        <f t="shared" si="9"/>
        <v xml:space="preserve">/ 
</v>
      </c>
    </row>
    <row r="499" spans="8:8" ht="36" x14ac:dyDescent="0.2">
      <c r="H499" s="64" t="str">
        <f t="shared" si="9"/>
        <v xml:space="preserve">/ 
</v>
      </c>
    </row>
    <row r="500" spans="8:8" ht="36" x14ac:dyDescent="0.2">
      <c r="H500" s="64" t="str">
        <f t="shared" si="9"/>
        <v xml:space="preserve">/ 
</v>
      </c>
    </row>
    <row r="501" spans="8:8" ht="36" x14ac:dyDescent="0.2">
      <c r="H501" s="64" t="str">
        <f t="shared" si="9"/>
        <v xml:space="preserve">/ 
</v>
      </c>
    </row>
    <row r="502" spans="8:8" ht="36" x14ac:dyDescent="0.2">
      <c r="H502" s="64" t="str">
        <f t="shared" si="9"/>
        <v xml:space="preserve">/ 
</v>
      </c>
    </row>
    <row r="503" spans="8:8" ht="36" x14ac:dyDescent="0.2">
      <c r="H503" s="64" t="str">
        <f t="shared" si="9"/>
        <v xml:space="preserve">/ 
</v>
      </c>
    </row>
    <row r="504" spans="8:8" ht="36" x14ac:dyDescent="0.2">
      <c r="H504" s="64" t="str">
        <f t="shared" si="9"/>
        <v xml:space="preserve">/ 
</v>
      </c>
    </row>
    <row r="505" spans="8:8" ht="36" x14ac:dyDescent="0.2">
      <c r="H505" s="64" t="str">
        <f t="shared" si="9"/>
        <v xml:space="preserve">/ 
</v>
      </c>
    </row>
    <row r="506" spans="8:8" ht="36" x14ac:dyDescent="0.2">
      <c r="H506" s="64" t="str">
        <f t="shared" si="9"/>
        <v xml:space="preserve">/ 
</v>
      </c>
    </row>
    <row r="507" spans="8:8" ht="36" x14ac:dyDescent="0.2">
      <c r="H507" s="64" t="str">
        <f t="shared" si="9"/>
        <v xml:space="preserve">/ 
</v>
      </c>
    </row>
    <row r="508" spans="8:8" ht="36" x14ac:dyDescent="0.2">
      <c r="H508" s="64" t="str">
        <f t="shared" si="9"/>
        <v xml:space="preserve">/ 
</v>
      </c>
    </row>
    <row r="509" spans="8:8" ht="36" x14ac:dyDescent="0.2">
      <c r="H509" s="64" t="str">
        <f t="shared" si="9"/>
        <v xml:space="preserve">/ 
</v>
      </c>
    </row>
    <row r="510" spans="8:8" ht="36" x14ac:dyDescent="0.2">
      <c r="H510" s="64" t="str">
        <f t="shared" si="9"/>
        <v xml:space="preserve">/ 
</v>
      </c>
    </row>
    <row r="511" spans="8:8" ht="36" x14ac:dyDescent="0.2">
      <c r="H511" s="64" t="str">
        <f t="shared" si="9"/>
        <v xml:space="preserve">/ 
</v>
      </c>
    </row>
    <row r="512" spans="8:8" ht="36" x14ac:dyDescent="0.2">
      <c r="H512" s="64" t="str">
        <f t="shared" si="9"/>
        <v xml:space="preserve">/ 
</v>
      </c>
    </row>
    <row r="513" spans="4:8" ht="36" x14ac:dyDescent="0.2">
      <c r="H513" s="64" t="str">
        <f t="shared" si="9"/>
        <v xml:space="preserve">/ 
</v>
      </c>
    </row>
    <row r="514" spans="4:8" ht="24" x14ac:dyDescent="0.2">
      <c r="H514" s="64" t="str">
        <f t="shared" ref="H514:H577" si="10">UPPER(CONCATENATE(C514,"/ ",A514,CHAR(10),D514,"/ ",E514," ",F514,"/ ",G514))</f>
        <v xml:space="preserve">/ 
/  / </v>
      </c>
    </row>
    <row r="515" spans="4:8" ht="24" x14ac:dyDescent="0.2">
      <c r="H515" s="64" t="str">
        <f t="shared" si="10"/>
        <v xml:space="preserve">/ 
/  / </v>
      </c>
    </row>
    <row r="516" spans="4:8" ht="24" x14ac:dyDescent="0.2">
      <c r="H516" s="64" t="str">
        <f t="shared" si="10"/>
        <v xml:space="preserve">/ 
/  / </v>
      </c>
    </row>
    <row r="517" spans="4:8" ht="24" x14ac:dyDescent="0.2">
      <c r="H517" s="64" t="str">
        <f t="shared" si="10"/>
        <v xml:space="preserve">/ 
/  / </v>
      </c>
    </row>
    <row r="518" spans="4:8" ht="24" x14ac:dyDescent="0.2">
      <c r="D518" s="63"/>
      <c r="H518" s="64" t="str">
        <f t="shared" si="10"/>
        <v xml:space="preserve">/ 
/  / </v>
      </c>
    </row>
    <row r="519" spans="4:8" ht="24" x14ac:dyDescent="0.2">
      <c r="H519" s="64" t="str">
        <f t="shared" si="10"/>
        <v xml:space="preserve">/ 
/  / </v>
      </c>
    </row>
    <row r="520" spans="4:8" ht="24" x14ac:dyDescent="0.2">
      <c r="H520" s="64" t="str">
        <f t="shared" si="10"/>
        <v xml:space="preserve">/ 
/  / </v>
      </c>
    </row>
    <row r="521" spans="4:8" ht="24" x14ac:dyDescent="0.2">
      <c r="H521" s="64" t="str">
        <f t="shared" si="10"/>
        <v xml:space="preserve">/ 
/  / </v>
      </c>
    </row>
    <row r="522" spans="4:8" ht="24" x14ac:dyDescent="0.2">
      <c r="H522" s="64" t="str">
        <f t="shared" si="10"/>
        <v xml:space="preserve">/ 
/  / </v>
      </c>
    </row>
    <row r="523" spans="4:8" ht="24" x14ac:dyDescent="0.2">
      <c r="H523" s="64" t="str">
        <f t="shared" si="10"/>
        <v xml:space="preserve">/ 
/  / </v>
      </c>
    </row>
    <row r="524" spans="4:8" ht="24" x14ac:dyDescent="0.2">
      <c r="H524" s="64" t="str">
        <f t="shared" si="10"/>
        <v xml:space="preserve">/ 
/  / </v>
      </c>
    </row>
    <row r="525" spans="4:8" ht="24" x14ac:dyDescent="0.2">
      <c r="H525" s="64" t="str">
        <f t="shared" si="10"/>
        <v xml:space="preserve">/ 
/  / </v>
      </c>
    </row>
    <row r="526" spans="4:8" ht="24" x14ac:dyDescent="0.2">
      <c r="H526" s="64" t="str">
        <f t="shared" si="10"/>
        <v xml:space="preserve">/ 
/  / </v>
      </c>
    </row>
    <row r="527" spans="4:8" ht="24" x14ac:dyDescent="0.2">
      <c r="H527" s="64" t="str">
        <f t="shared" si="10"/>
        <v xml:space="preserve">/ 
/  / </v>
      </c>
    </row>
    <row r="528" spans="4:8" ht="24" x14ac:dyDescent="0.2">
      <c r="H528" s="64" t="str">
        <f t="shared" si="10"/>
        <v xml:space="preserve">/ 
/  / </v>
      </c>
    </row>
    <row r="529" spans="8:8" ht="24" x14ac:dyDescent="0.2">
      <c r="H529" s="64" t="str">
        <f t="shared" si="10"/>
        <v xml:space="preserve">/ 
/  / </v>
      </c>
    </row>
    <row r="530" spans="8:8" ht="24" x14ac:dyDescent="0.2">
      <c r="H530" s="64" t="str">
        <f t="shared" si="10"/>
        <v xml:space="preserve">/ 
/  / </v>
      </c>
    </row>
    <row r="531" spans="8:8" ht="24" x14ac:dyDescent="0.2">
      <c r="H531" s="64" t="str">
        <f t="shared" si="10"/>
        <v xml:space="preserve">/ 
/  / </v>
      </c>
    </row>
    <row r="532" spans="8:8" ht="24" x14ac:dyDescent="0.2">
      <c r="H532" s="64" t="str">
        <f t="shared" si="10"/>
        <v xml:space="preserve">/ 
/  / </v>
      </c>
    </row>
    <row r="533" spans="8:8" ht="24" x14ac:dyDescent="0.2">
      <c r="H533" s="64" t="str">
        <f t="shared" si="10"/>
        <v xml:space="preserve">/ 
/  / </v>
      </c>
    </row>
    <row r="534" spans="8:8" ht="24" x14ac:dyDescent="0.2">
      <c r="H534" s="64" t="str">
        <f t="shared" si="10"/>
        <v xml:space="preserve">/ 
/  / </v>
      </c>
    </row>
    <row r="535" spans="8:8" ht="24" x14ac:dyDescent="0.2">
      <c r="H535" s="64" t="str">
        <f t="shared" si="10"/>
        <v xml:space="preserve">/ 
/  / </v>
      </c>
    </row>
    <row r="536" spans="8:8" ht="24" x14ac:dyDescent="0.2">
      <c r="H536" s="64" t="str">
        <f t="shared" si="10"/>
        <v xml:space="preserve">/ 
/  / </v>
      </c>
    </row>
    <row r="537" spans="8:8" ht="24" x14ac:dyDescent="0.2">
      <c r="H537" s="64" t="str">
        <f t="shared" si="10"/>
        <v xml:space="preserve">/ 
/  / </v>
      </c>
    </row>
    <row r="538" spans="8:8" ht="24" x14ac:dyDescent="0.2">
      <c r="H538" s="64" t="str">
        <f t="shared" si="10"/>
        <v xml:space="preserve">/ 
/  / </v>
      </c>
    </row>
    <row r="539" spans="8:8" ht="24" x14ac:dyDescent="0.2">
      <c r="H539" s="64" t="str">
        <f t="shared" si="10"/>
        <v xml:space="preserve">/ 
/  / </v>
      </c>
    </row>
    <row r="540" spans="8:8" ht="24" x14ac:dyDescent="0.2">
      <c r="H540" s="64" t="str">
        <f t="shared" si="10"/>
        <v xml:space="preserve">/ 
/  / </v>
      </c>
    </row>
    <row r="541" spans="8:8" ht="24" x14ac:dyDescent="0.2">
      <c r="H541" s="64" t="str">
        <f t="shared" si="10"/>
        <v xml:space="preserve">/ 
/  / </v>
      </c>
    </row>
    <row r="542" spans="8:8" ht="24" x14ac:dyDescent="0.2">
      <c r="H542" s="64" t="str">
        <f t="shared" si="10"/>
        <v xml:space="preserve">/ 
/  / </v>
      </c>
    </row>
    <row r="543" spans="8:8" ht="24" x14ac:dyDescent="0.2">
      <c r="H543" s="64" t="str">
        <f t="shared" si="10"/>
        <v xml:space="preserve">/ 
/  / </v>
      </c>
    </row>
    <row r="544" spans="8:8" ht="24" x14ac:dyDescent="0.2">
      <c r="H544" s="64" t="str">
        <f t="shared" si="10"/>
        <v xml:space="preserve">/ 
/  / </v>
      </c>
    </row>
    <row r="545" spans="8:8" ht="24" x14ac:dyDescent="0.2">
      <c r="H545" s="64" t="str">
        <f t="shared" si="10"/>
        <v xml:space="preserve">/ 
/  / </v>
      </c>
    </row>
    <row r="546" spans="8:8" ht="24" x14ac:dyDescent="0.2">
      <c r="H546" s="64" t="str">
        <f t="shared" si="10"/>
        <v xml:space="preserve">/ 
/  / </v>
      </c>
    </row>
    <row r="547" spans="8:8" ht="24" x14ac:dyDescent="0.2">
      <c r="H547" s="64" t="str">
        <f t="shared" si="10"/>
        <v xml:space="preserve">/ 
/  / </v>
      </c>
    </row>
    <row r="548" spans="8:8" ht="24" x14ac:dyDescent="0.2">
      <c r="H548" s="64" t="str">
        <f t="shared" si="10"/>
        <v xml:space="preserve">/ 
/  / </v>
      </c>
    </row>
    <row r="549" spans="8:8" ht="24" x14ac:dyDescent="0.2">
      <c r="H549" s="64" t="str">
        <f t="shared" si="10"/>
        <v xml:space="preserve">/ 
/  / </v>
      </c>
    </row>
    <row r="550" spans="8:8" ht="24" x14ac:dyDescent="0.2">
      <c r="H550" s="64" t="str">
        <f t="shared" si="10"/>
        <v xml:space="preserve">/ 
/  / </v>
      </c>
    </row>
    <row r="551" spans="8:8" ht="24" x14ac:dyDescent="0.2">
      <c r="H551" s="64" t="str">
        <f t="shared" si="10"/>
        <v xml:space="preserve">/ 
/  / </v>
      </c>
    </row>
    <row r="552" spans="8:8" ht="24" x14ac:dyDescent="0.2">
      <c r="H552" s="64" t="str">
        <f t="shared" si="10"/>
        <v xml:space="preserve">/ 
/  / </v>
      </c>
    </row>
    <row r="553" spans="8:8" ht="24" x14ac:dyDescent="0.2">
      <c r="H553" s="64" t="str">
        <f t="shared" si="10"/>
        <v xml:space="preserve">/ 
/  / </v>
      </c>
    </row>
    <row r="554" spans="8:8" ht="24" x14ac:dyDescent="0.2">
      <c r="H554" s="64" t="str">
        <f t="shared" si="10"/>
        <v xml:space="preserve">/ 
/  / </v>
      </c>
    </row>
    <row r="555" spans="8:8" ht="24" x14ac:dyDescent="0.2">
      <c r="H555" s="64" t="str">
        <f t="shared" si="10"/>
        <v xml:space="preserve">/ 
/  / </v>
      </c>
    </row>
    <row r="556" spans="8:8" ht="24" x14ac:dyDescent="0.2">
      <c r="H556" s="64" t="str">
        <f t="shared" si="10"/>
        <v xml:space="preserve">/ 
/  / </v>
      </c>
    </row>
    <row r="557" spans="8:8" ht="24" x14ac:dyDescent="0.2">
      <c r="H557" s="64" t="str">
        <f t="shared" si="10"/>
        <v xml:space="preserve">/ 
/  / </v>
      </c>
    </row>
    <row r="558" spans="8:8" ht="24" x14ac:dyDescent="0.2">
      <c r="H558" s="64" t="str">
        <f t="shared" si="10"/>
        <v xml:space="preserve">/ 
/  / </v>
      </c>
    </row>
    <row r="559" spans="8:8" ht="24" x14ac:dyDescent="0.2">
      <c r="H559" s="64" t="str">
        <f t="shared" si="10"/>
        <v xml:space="preserve">/ 
/  / </v>
      </c>
    </row>
    <row r="560" spans="8:8" ht="24" x14ac:dyDescent="0.2">
      <c r="H560" s="64" t="str">
        <f t="shared" si="10"/>
        <v xml:space="preserve">/ 
/  / </v>
      </c>
    </row>
    <row r="561" spans="4:8" ht="24" x14ac:dyDescent="0.2">
      <c r="H561" s="64" t="str">
        <f t="shared" si="10"/>
        <v xml:space="preserve">/ 
/  / </v>
      </c>
    </row>
    <row r="562" spans="4:8" ht="24" x14ac:dyDescent="0.2">
      <c r="D562" s="63"/>
      <c r="H562" s="64" t="str">
        <f t="shared" si="10"/>
        <v xml:space="preserve">/ 
/  / </v>
      </c>
    </row>
    <row r="563" spans="4:8" ht="24" x14ac:dyDescent="0.2">
      <c r="H563" s="64" t="str">
        <f t="shared" si="10"/>
        <v xml:space="preserve">/ 
/  / </v>
      </c>
    </row>
    <row r="564" spans="4:8" ht="24" x14ac:dyDescent="0.2">
      <c r="H564" s="64" t="str">
        <f t="shared" si="10"/>
        <v xml:space="preserve">/ 
/  / </v>
      </c>
    </row>
    <row r="565" spans="4:8" ht="24" x14ac:dyDescent="0.2">
      <c r="H565" s="64" t="str">
        <f t="shared" si="10"/>
        <v xml:space="preserve">/ 
/  / </v>
      </c>
    </row>
    <row r="566" spans="4:8" ht="24" x14ac:dyDescent="0.2">
      <c r="H566" s="64" t="str">
        <f t="shared" si="10"/>
        <v xml:space="preserve">/ 
/  / </v>
      </c>
    </row>
    <row r="567" spans="4:8" ht="24" x14ac:dyDescent="0.2">
      <c r="H567" s="64" t="str">
        <f t="shared" si="10"/>
        <v xml:space="preserve">/ 
/  / </v>
      </c>
    </row>
    <row r="568" spans="4:8" ht="24" x14ac:dyDescent="0.2">
      <c r="H568" s="64" t="str">
        <f t="shared" si="10"/>
        <v xml:space="preserve">/ 
/  / </v>
      </c>
    </row>
    <row r="569" spans="4:8" ht="24" x14ac:dyDescent="0.2">
      <c r="H569" s="64" t="str">
        <f t="shared" si="10"/>
        <v xml:space="preserve">/ 
/  / </v>
      </c>
    </row>
    <row r="570" spans="4:8" ht="24" x14ac:dyDescent="0.2">
      <c r="H570" s="64" t="str">
        <f t="shared" si="10"/>
        <v xml:space="preserve">/ 
/  / </v>
      </c>
    </row>
    <row r="571" spans="4:8" ht="24" x14ac:dyDescent="0.2">
      <c r="H571" s="64" t="str">
        <f t="shared" si="10"/>
        <v xml:space="preserve">/ 
/  / </v>
      </c>
    </row>
    <row r="572" spans="4:8" ht="24" x14ac:dyDescent="0.2">
      <c r="H572" s="64" t="str">
        <f t="shared" si="10"/>
        <v xml:space="preserve">/ 
/  / </v>
      </c>
    </row>
    <row r="573" spans="4:8" ht="24" x14ac:dyDescent="0.2">
      <c r="H573" s="64" t="str">
        <f t="shared" si="10"/>
        <v xml:space="preserve">/ 
/  / </v>
      </c>
    </row>
    <row r="574" spans="4:8" ht="24" x14ac:dyDescent="0.2">
      <c r="H574" s="64" t="str">
        <f t="shared" si="10"/>
        <v xml:space="preserve">/ 
/  / </v>
      </c>
    </row>
    <row r="575" spans="4:8" ht="24" x14ac:dyDescent="0.2">
      <c r="H575" s="64" t="str">
        <f t="shared" si="10"/>
        <v xml:space="preserve">/ 
/  / </v>
      </c>
    </row>
    <row r="576" spans="4:8" ht="24" x14ac:dyDescent="0.2">
      <c r="H576" s="64" t="str">
        <f t="shared" si="10"/>
        <v xml:space="preserve">/ 
/  / </v>
      </c>
    </row>
    <row r="577" spans="4:8" ht="24" x14ac:dyDescent="0.2">
      <c r="H577" s="64" t="str">
        <f t="shared" si="10"/>
        <v xml:space="preserve">/ 
/  / </v>
      </c>
    </row>
    <row r="578" spans="4:8" ht="24" x14ac:dyDescent="0.2">
      <c r="H578" s="64" t="str">
        <f t="shared" ref="H578:H587" si="11">UPPER(CONCATENATE(C578,"/ ",A578,CHAR(10),D578,"/ ",E578," ",F578,"/ ",G578))</f>
        <v xml:space="preserve">/ 
/  / </v>
      </c>
    </row>
    <row r="579" spans="4:8" ht="24" x14ac:dyDescent="0.2">
      <c r="F579" s="63"/>
      <c r="H579" s="64" t="str">
        <f t="shared" si="11"/>
        <v xml:space="preserve">/ 
/  / </v>
      </c>
    </row>
    <row r="580" spans="4:8" ht="24" x14ac:dyDescent="0.2">
      <c r="H580" s="64" t="str">
        <f t="shared" si="11"/>
        <v xml:space="preserve">/ 
/  / </v>
      </c>
    </row>
    <row r="581" spans="4:8" ht="24" x14ac:dyDescent="0.2">
      <c r="H581" s="64" t="str">
        <f t="shared" si="11"/>
        <v xml:space="preserve">/ 
/  / </v>
      </c>
    </row>
    <row r="582" spans="4:8" ht="24" x14ac:dyDescent="0.2">
      <c r="H582" s="64" t="str">
        <f t="shared" si="11"/>
        <v xml:space="preserve">/ 
/  / </v>
      </c>
    </row>
    <row r="583" spans="4:8" ht="24" x14ac:dyDescent="0.2">
      <c r="H583" s="64" t="str">
        <f t="shared" si="11"/>
        <v xml:space="preserve">/ 
/  / </v>
      </c>
    </row>
    <row r="584" spans="4:8" ht="24" x14ac:dyDescent="0.2">
      <c r="F584" s="63"/>
      <c r="H584" s="64" t="str">
        <f t="shared" si="11"/>
        <v xml:space="preserve">/ 
/  / </v>
      </c>
    </row>
    <row r="585" spans="4:8" ht="24" x14ac:dyDescent="0.2">
      <c r="H585" s="64" t="str">
        <f t="shared" si="11"/>
        <v xml:space="preserve">/ 
/  / </v>
      </c>
    </row>
    <row r="586" spans="4:8" ht="24" x14ac:dyDescent="0.2">
      <c r="D586" s="93"/>
      <c r="H586" s="64" t="str">
        <f t="shared" si="11"/>
        <v xml:space="preserve">/ 
/  / </v>
      </c>
    </row>
    <row r="587" spans="4:8" ht="24" x14ac:dyDescent="0.2">
      <c r="F587" s="63"/>
      <c r="H587" s="64" t="str">
        <f t="shared" si="11"/>
        <v xml:space="preserve">/ 
/  / </v>
      </c>
    </row>
    <row r="588" spans="4:8" ht="24" x14ac:dyDescent="0.2">
      <c r="F588" s="63"/>
      <c r="H588" s="64" t="str">
        <f>UPPER(CONCATENATE(C588,"/ ",A588,CHAR(10),D588,"/ ",E588," ",F588,"/ ",G588))</f>
        <v xml:space="preserve">/ 
/  / </v>
      </c>
    </row>
    <row r="590" spans="4:8" ht="36" x14ac:dyDescent="0.2">
      <c r="H590" s="64" t="str">
        <f t="shared" ref="H590" si="12">UPPER(CONCATENATE(C590,"/ ",A590,CHAR(10),D590,CHAR(10),E590," ",F590,CHAR(10),G590))</f>
        <v xml:space="preserve">/ 
</v>
      </c>
    </row>
  </sheetData>
  <autoFilter ref="A1:L59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J25"/>
  <sheetViews>
    <sheetView zoomScaleNormal="100" workbookViewId="0">
      <selection activeCell="E5" sqref="E5"/>
    </sheetView>
  </sheetViews>
  <sheetFormatPr defaultColWidth="9.125" defaultRowHeight="15" x14ac:dyDescent="0.25"/>
  <cols>
    <col min="1" max="1" width="10.25" style="1" customWidth="1"/>
    <col min="2" max="2" width="46.75" style="1" customWidth="1"/>
    <col min="3" max="3" width="8" style="1" customWidth="1"/>
    <col min="4" max="4" width="17.375" style="1" customWidth="1"/>
    <col min="5" max="5" width="10" style="2" customWidth="1"/>
    <col min="6" max="6" width="10.25" style="1" customWidth="1"/>
    <col min="7" max="7" width="11.75" style="1" customWidth="1"/>
    <col min="8" max="16384" width="9.125" style="1"/>
  </cols>
  <sheetData>
    <row r="1" spans="1:10" ht="20.25" customHeight="1" x14ac:dyDescent="0.25">
      <c r="A1" s="135" t="s">
        <v>0</v>
      </c>
      <c r="B1" s="135"/>
      <c r="C1" s="136"/>
      <c r="D1" s="136"/>
      <c r="E1" s="20"/>
      <c r="F1" s="20"/>
      <c r="G1" s="20"/>
    </row>
    <row r="2" spans="1:10" ht="15.75" x14ac:dyDescent="0.25">
      <c r="A2" s="124" t="s">
        <v>1</v>
      </c>
      <c r="B2" s="124"/>
      <c r="C2" s="124"/>
      <c r="D2" s="124"/>
      <c r="E2" s="124"/>
      <c r="F2" s="124"/>
      <c r="G2" s="124"/>
    </row>
    <row r="3" spans="1:10" ht="18.75" x14ac:dyDescent="0.3">
      <c r="A3" s="125" t="s">
        <v>2</v>
      </c>
      <c r="B3" s="125"/>
      <c r="C3" s="125"/>
      <c r="D3" s="125"/>
      <c r="E3" s="125"/>
      <c r="F3" s="125"/>
      <c r="G3" s="125"/>
    </row>
    <row r="4" spans="1:10" x14ac:dyDescent="0.25">
      <c r="A4" s="126" t="s">
        <v>3</v>
      </c>
      <c r="B4" s="126"/>
      <c r="C4" s="126"/>
    </row>
    <row r="5" spans="1:10" x14ac:dyDescent="0.25">
      <c r="A5" s="127" t="s">
        <v>4</v>
      </c>
      <c r="B5" s="127"/>
      <c r="C5" s="127"/>
    </row>
    <row r="6" spans="1:10" ht="16.5" thickBot="1" x14ac:dyDescent="0.3">
      <c r="A6" s="128" t="s">
        <v>5</v>
      </c>
      <c r="B6" s="128"/>
      <c r="C6" s="129"/>
      <c r="D6" s="3"/>
    </row>
    <row r="7" spans="1:10" x14ac:dyDescent="0.25">
      <c r="A7" s="130" t="s">
        <v>6</v>
      </c>
      <c r="B7" s="131"/>
      <c r="C7" s="4"/>
      <c r="D7" s="132" t="s">
        <v>7</v>
      </c>
      <c r="E7" s="133"/>
      <c r="F7" s="133"/>
      <c r="G7" s="134"/>
    </row>
    <row r="8" spans="1:10" x14ac:dyDescent="0.25">
      <c r="A8" s="112"/>
      <c r="B8" s="113"/>
      <c r="C8" s="4"/>
      <c r="D8" s="114"/>
      <c r="E8" s="115"/>
      <c r="F8" s="115"/>
      <c r="G8" s="116"/>
    </row>
    <row r="9" spans="1:10" ht="28.5" customHeight="1" x14ac:dyDescent="0.25">
      <c r="A9" s="117" t="s">
        <v>8</v>
      </c>
      <c r="B9" s="118"/>
      <c r="C9" s="4"/>
      <c r="D9" s="119" t="e">
        <f>VLOOKUP(D6,klienci!$B:$H,7,0)</f>
        <v>#N/A</v>
      </c>
      <c r="E9" s="120"/>
      <c r="F9" s="120"/>
      <c r="G9" s="121"/>
      <c r="I9"/>
      <c r="J9"/>
    </row>
    <row r="10" spans="1:10" ht="15" customHeight="1" x14ac:dyDescent="0.25">
      <c r="A10" s="117" t="s">
        <v>9</v>
      </c>
      <c r="B10" s="118"/>
      <c r="C10" s="4"/>
      <c r="D10" s="119"/>
      <c r="E10" s="120"/>
      <c r="F10" s="120"/>
      <c r="G10" s="121"/>
    </row>
    <row r="11" spans="1:10" x14ac:dyDescent="0.25">
      <c r="A11" s="117" t="s">
        <v>10</v>
      </c>
      <c r="B11" s="118"/>
      <c r="C11" s="4"/>
      <c r="D11" s="119"/>
      <c r="E11" s="120"/>
      <c r="F11" s="120"/>
      <c r="G11" s="121"/>
    </row>
    <row r="12" spans="1:10" x14ac:dyDescent="0.25">
      <c r="A12" s="122" t="s">
        <v>11</v>
      </c>
      <c r="B12" s="123"/>
      <c r="C12" s="4"/>
      <c r="D12" s="119"/>
      <c r="E12" s="120"/>
      <c r="F12" s="120"/>
      <c r="G12" s="121"/>
    </row>
    <row r="13" spans="1:10" ht="15.75" thickBot="1" x14ac:dyDescent="0.3">
      <c r="A13" s="98" t="s">
        <v>12</v>
      </c>
      <c r="B13" s="99"/>
      <c r="C13" s="4"/>
      <c r="D13" s="100"/>
      <c r="E13" s="101"/>
      <c r="F13" s="101"/>
      <c r="G13" s="102"/>
    </row>
    <row r="14" spans="1:10" x14ac:dyDescent="0.25">
      <c r="A14" s="5"/>
      <c r="B14" s="5"/>
      <c r="C14" s="5"/>
    </row>
    <row r="15" spans="1:10" x14ac:dyDescent="0.25">
      <c r="A15" s="6" t="s">
        <v>13</v>
      </c>
    </row>
    <row r="16" spans="1:10" x14ac:dyDescent="0.25">
      <c r="A16" s="24"/>
      <c r="B16" s="25"/>
      <c r="C16" s="26"/>
      <c r="D16" s="26" t="s">
        <v>14</v>
      </c>
      <c r="E16" s="27"/>
      <c r="F16" s="25"/>
      <c r="G16" s="25"/>
    </row>
    <row r="17" spans="1:9" x14ac:dyDescent="0.25">
      <c r="A17" s="28" t="s">
        <v>15</v>
      </c>
      <c r="B17" s="29" t="s">
        <v>16</v>
      </c>
      <c r="C17" s="29" t="s">
        <v>17</v>
      </c>
      <c r="D17" s="29" t="s">
        <v>18</v>
      </c>
      <c r="E17" s="30" t="s">
        <v>19</v>
      </c>
      <c r="F17" s="29" t="s">
        <v>20</v>
      </c>
      <c r="G17" s="29" t="s">
        <v>21</v>
      </c>
    </row>
    <row r="18" spans="1:9" x14ac:dyDescent="0.25">
      <c r="A18" s="31" t="s">
        <v>22</v>
      </c>
      <c r="B18" s="32" t="s">
        <v>23</v>
      </c>
      <c r="C18" s="32" t="s">
        <v>24</v>
      </c>
      <c r="D18" s="29" t="s">
        <v>25</v>
      </c>
      <c r="E18" s="33" t="s">
        <v>26</v>
      </c>
      <c r="F18" s="32" t="s">
        <v>27</v>
      </c>
      <c r="G18" s="32" t="s">
        <v>28</v>
      </c>
    </row>
    <row r="19" spans="1:9" s="7" customFormat="1" ht="24" x14ac:dyDescent="0.2">
      <c r="A19" s="34" t="s">
        <v>29</v>
      </c>
      <c r="B19" s="34" t="s">
        <v>30</v>
      </c>
      <c r="C19" s="34" t="s">
        <v>31</v>
      </c>
      <c r="D19" s="35" t="s">
        <v>32</v>
      </c>
      <c r="E19" s="34" t="s">
        <v>33</v>
      </c>
      <c r="F19" s="34" t="s">
        <v>34</v>
      </c>
      <c r="G19" s="34" t="s">
        <v>35</v>
      </c>
    </row>
    <row r="20" spans="1:9" ht="34.5" x14ac:dyDescent="0.25">
      <c r="A20" s="36"/>
      <c r="B20" s="37"/>
      <c r="C20" s="37"/>
      <c r="D20" s="38" t="s">
        <v>36</v>
      </c>
      <c r="E20" s="38"/>
      <c r="F20" s="39" t="s">
        <v>37</v>
      </c>
      <c r="G20" s="37"/>
    </row>
    <row r="21" spans="1:9" x14ac:dyDescent="0.25">
      <c r="A21" s="65"/>
      <c r="B21" s="66"/>
      <c r="C21" s="65"/>
      <c r="D21" s="65"/>
      <c r="E21" s="67"/>
      <c r="F21" s="65"/>
      <c r="G21" s="65"/>
    </row>
    <row r="22" spans="1:9" ht="18.75" x14ac:dyDescent="0.25">
      <c r="A22" s="103">
        <f>PANEL!I6</f>
        <v>42450</v>
      </c>
      <c r="B22" s="104"/>
      <c r="C22" s="104"/>
      <c r="D22" s="104"/>
      <c r="E22" s="104"/>
      <c r="F22" s="104"/>
      <c r="G22" s="105"/>
    </row>
    <row r="23" spans="1:9" ht="54" customHeight="1" x14ac:dyDescent="0.25">
      <c r="A23" s="106" t="s">
        <v>88</v>
      </c>
      <c r="B23" s="107"/>
      <c r="C23" s="107"/>
      <c r="D23" s="107"/>
      <c r="E23" s="107"/>
      <c r="F23" s="107"/>
      <c r="G23" s="108"/>
    </row>
    <row r="24" spans="1:9" x14ac:dyDescent="0.25">
      <c r="A24" s="109" t="s">
        <v>38</v>
      </c>
      <c r="B24" s="110"/>
      <c r="C24" s="110"/>
      <c r="D24" s="110"/>
      <c r="E24" s="110"/>
      <c r="F24" s="110"/>
      <c r="G24" s="111"/>
      <c r="I24"/>
    </row>
    <row r="25" spans="1:9" x14ac:dyDescent="0.25">
      <c r="A25" s="8"/>
    </row>
  </sheetData>
  <mergeCells count="21">
    <mergeCell ref="A13:B13"/>
    <mergeCell ref="D13:G13"/>
    <mergeCell ref="A22:G22"/>
    <mergeCell ref="A23:G23"/>
    <mergeCell ref="A24:G24"/>
    <mergeCell ref="A10:B10"/>
    <mergeCell ref="A11:B11"/>
    <mergeCell ref="A12:B12"/>
    <mergeCell ref="D9:G12"/>
    <mergeCell ref="A9:B9"/>
    <mergeCell ref="A1:B1"/>
    <mergeCell ref="A2:G2"/>
    <mergeCell ref="A3:G3"/>
    <mergeCell ref="A4:C4"/>
    <mergeCell ref="A5:C5"/>
    <mergeCell ref="C1:D1"/>
    <mergeCell ref="A6:C6"/>
    <mergeCell ref="A7:B7"/>
    <mergeCell ref="D7:G7"/>
    <mergeCell ref="A8:B8"/>
    <mergeCell ref="D8:G8"/>
  </mergeCells>
  <pageMargins left="0.70866141732283472" right="0.51181102362204722" top="0.74803149606299213" bottom="0.74803149606299213" header="0.31496062992125984" footer="0.31496062992125984"/>
  <pageSetup paperSize="9" scale="78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B20"/>
  <sheetViews>
    <sheetView workbookViewId="0">
      <selection activeCell="B10" sqref="B10"/>
    </sheetView>
  </sheetViews>
  <sheetFormatPr defaultColWidth="9.125" defaultRowHeight="12.75" x14ac:dyDescent="0.2"/>
  <cols>
    <col min="1" max="1" width="15.375" style="68" customWidth="1"/>
    <col min="2" max="2" width="116" style="69" customWidth="1"/>
    <col min="3" max="16384" width="9.125" style="69"/>
  </cols>
  <sheetData>
    <row r="1" spans="1:2" s="71" customFormat="1" ht="15" x14ac:dyDescent="0.25">
      <c r="A1" s="70" t="s">
        <v>92</v>
      </c>
      <c r="B1" s="71" t="s">
        <v>93</v>
      </c>
    </row>
    <row r="2" spans="1:2" ht="38.25" x14ac:dyDescent="0.2">
      <c r="A2" s="68" t="s">
        <v>90</v>
      </c>
      <c r="B2" s="72" t="s">
        <v>91</v>
      </c>
    </row>
    <row r="3" spans="1:2" x14ac:dyDescent="0.2">
      <c r="A3" s="68" t="s">
        <v>90</v>
      </c>
      <c r="B3" s="73" t="s">
        <v>94</v>
      </c>
    </row>
    <row r="4" spans="1:2" x14ac:dyDescent="0.2">
      <c r="A4" s="68" t="s">
        <v>95</v>
      </c>
      <c r="B4" s="73" t="s">
        <v>96</v>
      </c>
    </row>
    <row r="5" spans="1:2" x14ac:dyDescent="0.2">
      <c r="A5" s="68" t="s">
        <v>123</v>
      </c>
      <c r="B5" s="73" t="s">
        <v>124</v>
      </c>
    </row>
    <row r="6" spans="1:2" x14ac:dyDescent="0.2">
      <c r="B6" s="73"/>
    </row>
    <row r="7" spans="1:2" x14ac:dyDescent="0.2">
      <c r="B7" s="73"/>
    </row>
    <row r="8" spans="1:2" x14ac:dyDescent="0.2">
      <c r="B8" s="73"/>
    </row>
    <row r="9" spans="1:2" x14ac:dyDescent="0.2">
      <c r="B9" s="73"/>
    </row>
    <row r="10" spans="1:2" x14ac:dyDescent="0.2">
      <c r="B10" s="73"/>
    </row>
    <row r="11" spans="1:2" x14ac:dyDescent="0.2">
      <c r="B11" s="73"/>
    </row>
    <row r="12" spans="1:2" x14ac:dyDescent="0.2">
      <c r="B12" s="73"/>
    </row>
    <row r="13" spans="1:2" x14ac:dyDescent="0.2">
      <c r="B13" s="73"/>
    </row>
    <row r="14" spans="1:2" x14ac:dyDescent="0.2">
      <c r="B14" s="73"/>
    </row>
    <row r="15" spans="1:2" x14ac:dyDescent="0.2">
      <c r="B15" s="73"/>
    </row>
    <row r="16" spans="1:2" x14ac:dyDescent="0.2">
      <c r="B16" s="73"/>
    </row>
    <row r="17" spans="2:2" x14ac:dyDescent="0.2">
      <c r="B17" s="73"/>
    </row>
    <row r="18" spans="2:2" x14ac:dyDescent="0.2">
      <c r="B18" s="73"/>
    </row>
    <row r="19" spans="2:2" x14ac:dyDescent="0.2">
      <c r="B19" s="73"/>
    </row>
    <row r="20" spans="2:2" x14ac:dyDescent="0.2">
      <c r="B20" s="7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PANEL</vt:lpstr>
      <vt:lpstr>TMP</vt:lpstr>
      <vt:lpstr>zbiorczy</vt:lpstr>
      <vt:lpstr>klienci</vt:lpstr>
      <vt:lpstr>wzór_dd</vt:lpstr>
      <vt:lpstr>wersje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2016-10-25T10:17:53Z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63af75e3-34fd-4ad2-a17a-225e650f1d99</vt:lpwstr>
  </property>
</Properties>
</file>